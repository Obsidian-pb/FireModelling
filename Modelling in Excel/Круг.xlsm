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GitRepositories\FireModelling\Modelling in Excel\"/>
    </mc:Choice>
  </mc:AlternateContent>
  <bookViews>
    <workbookView xWindow="240" yWindow="15" windowWidth="19995" windowHeight="8190"/>
  </bookViews>
  <sheets>
    <sheet name="Лист1" sheetId="1" r:id="rId1"/>
    <sheet name="Правильная окружность" sheetId="2" r:id="rId2"/>
    <sheet name="Расчет скоростей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G55" i="3" l="1"/>
  <c r="H55" i="3"/>
  <c r="I55" i="3"/>
  <c r="J55" i="3"/>
  <c r="K55" i="3"/>
  <c r="L55" i="3"/>
  <c r="M55" i="3"/>
  <c r="N55" i="3"/>
  <c r="O55" i="3"/>
  <c r="F55" i="3"/>
  <c r="G53" i="3"/>
  <c r="H53" i="3"/>
  <c r="I53" i="3"/>
  <c r="J53" i="3"/>
  <c r="K53" i="3"/>
  <c r="L53" i="3"/>
  <c r="M53" i="3"/>
  <c r="N53" i="3"/>
  <c r="O53" i="3"/>
  <c r="F53" i="3"/>
  <c r="G52" i="3"/>
  <c r="H52" i="3"/>
  <c r="I52" i="3"/>
  <c r="J52" i="3"/>
  <c r="K52" i="3"/>
  <c r="L52" i="3"/>
  <c r="M52" i="3"/>
  <c r="N52" i="3"/>
  <c r="O52" i="3"/>
  <c r="F52" i="3"/>
  <c r="N8" i="3" l="1"/>
  <c r="M8" i="3"/>
  <c r="L8" i="3"/>
  <c r="K8" i="3"/>
  <c r="J8" i="3"/>
  <c r="I8" i="3"/>
  <c r="H8" i="3"/>
  <c r="G8" i="3"/>
  <c r="F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U8" i="3"/>
  <c r="V8" i="3"/>
  <c r="W8" i="3"/>
  <c r="X8" i="3"/>
  <c r="Y8" i="3"/>
  <c r="Z8" i="3"/>
  <c r="AA8" i="3"/>
  <c r="AB8" i="3"/>
  <c r="AC8" i="3"/>
  <c r="AD8" i="3"/>
  <c r="AE8" i="3"/>
  <c r="P8" i="3"/>
  <c r="Q8" i="3"/>
  <c r="R8" i="3"/>
  <c r="S8" i="3"/>
  <c r="T10" i="3"/>
  <c r="T8" i="3"/>
  <c r="AJ6" i="3"/>
  <c r="AK6" i="3"/>
  <c r="AL6" i="3"/>
  <c r="AM6" i="3"/>
  <c r="AN6" i="3"/>
  <c r="AO6" i="3"/>
  <c r="AP6" i="3"/>
  <c r="AQ6" i="3"/>
  <c r="AR6" i="3"/>
  <c r="AS6" i="3"/>
  <c r="F6" i="3"/>
  <c r="G6" i="3"/>
  <c r="H6" i="3"/>
  <c r="I6" i="3"/>
  <c r="J6" i="3"/>
  <c r="K6" i="3"/>
  <c r="L6" i="3"/>
  <c r="M6" i="3"/>
  <c r="N6" i="3"/>
  <c r="Z6" i="3"/>
  <c r="AA6" i="3"/>
  <c r="AB6" i="3"/>
  <c r="AC6" i="3"/>
  <c r="AD6" i="3"/>
  <c r="AE6" i="3"/>
  <c r="AF6" i="3"/>
  <c r="AG6" i="3"/>
  <c r="AH6" i="3"/>
  <c r="AI6" i="3"/>
  <c r="Q6" i="3"/>
  <c r="R6" i="3"/>
  <c r="S6" i="3"/>
  <c r="T6" i="3"/>
  <c r="U6" i="3"/>
  <c r="V6" i="3"/>
  <c r="W6" i="3"/>
  <c r="X6" i="3"/>
  <c r="Y6" i="3"/>
  <c r="P6" i="3"/>
  <c r="O6" i="3"/>
  <c r="G39" i="3"/>
  <c r="O39" i="3"/>
  <c r="K39" i="3"/>
  <c r="M39" i="3"/>
  <c r="H39" i="3"/>
  <c r="J39" i="3"/>
  <c r="L39" i="3"/>
  <c r="N39" i="3"/>
  <c r="I39" i="3"/>
  <c r="F39" i="3"/>
  <c r="F50" i="3" l="1"/>
  <c r="I50" i="3"/>
  <c r="N50" i="3"/>
  <c r="L50" i="3"/>
  <c r="J50" i="3"/>
  <c r="H50" i="3"/>
  <c r="M50" i="3"/>
  <c r="K50" i="3"/>
  <c r="O50" i="3"/>
  <c r="G50" i="3"/>
  <c r="AY51" i="2"/>
  <c r="AX51" i="2"/>
  <c r="AW51" i="2"/>
  <c r="AV51" i="2"/>
  <c r="AU51" i="2"/>
  <c r="AT51" i="2"/>
  <c r="AS51" i="2"/>
  <c r="AR51" i="2"/>
  <c r="AQ51" i="2"/>
  <c r="AP51" i="2"/>
  <c r="AY50" i="2"/>
  <c r="AX50" i="2"/>
  <c r="AW50" i="2"/>
  <c r="AV50" i="2"/>
  <c r="AU50" i="2"/>
  <c r="AT50" i="2"/>
  <c r="AS50" i="2"/>
  <c r="AR50" i="2"/>
  <c r="AQ50" i="2"/>
  <c r="AP50" i="2"/>
  <c r="AY49" i="2"/>
  <c r="AX49" i="2"/>
  <c r="AW49" i="2"/>
  <c r="AV49" i="2"/>
  <c r="AU49" i="2"/>
  <c r="AT49" i="2"/>
  <c r="AS49" i="2"/>
  <c r="AR49" i="2"/>
  <c r="AQ49" i="2"/>
  <c r="AP49" i="2"/>
  <c r="AY48" i="2"/>
  <c r="AX48" i="2"/>
  <c r="AW48" i="2"/>
  <c r="AV48" i="2"/>
  <c r="AU48" i="2"/>
  <c r="AT48" i="2"/>
  <c r="AS48" i="2"/>
  <c r="AR48" i="2"/>
  <c r="AQ48" i="2"/>
  <c r="AP48" i="2"/>
  <c r="AY47" i="2"/>
  <c r="AX47" i="2"/>
  <c r="AW47" i="2"/>
  <c r="AV47" i="2"/>
  <c r="AU47" i="2"/>
  <c r="AT47" i="2"/>
  <c r="AS47" i="2"/>
  <c r="AR47" i="2"/>
  <c r="AQ47" i="2"/>
  <c r="AP47" i="2"/>
  <c r="AY46" i="2"/>
  <c r="AX46" i="2"/>
  <c r="AW46" i="2"/>
  <c r="AV46" i="2"/>
  <c r="AU46" i="2"/>
  <c r="AT46" i="2"/>
  <c r="AS46" i="2"/>
  <c r="AR46" i="2"/>
  <c r="AQ46" i="2"/>
  <c r="AP46" i="2"/>
  <c r="AY45" i="2"/>
  <c r="AX45" i="2"/>
  <c r="AW45" i="2"/>
  <c r="AV45" i="2"/>
  <c r="AU45" i="2"/>
  <c r="AT45" i="2"/>
  <c r="AS45" i="2"/>
  <c r="AR45" i="2"/>
  <c r="AQ45" i="2"/>
  <c r="AP45" i="2"/>
  <c r="AY44" i="2"/>
  <c r="AX44" i="2"/>
  <c r="AW44" i="2"/>
  <c r="AV44" i="2"/>
  <c r="AU44" i="2"/>
  <c r="AT44" i="2"/>
  <c r="AS44" i="2"/>
  <c r="AR44" i="2"/>
  <c r="AQ44" i="2"/>
  <c r="AP44" i="2"/>
  <c r="AY43" i="2"/>
  <c r="AX43" i="2"/>
  <c r="AW43" i="2"/>
  <c r="AV43" i="2"/>
  <c r="AU43" i="2"/>
  <c r="AT43" i="2"/>
  <c r="AS43" i="2"/>
  <c r="AR43" i="2"/>
  <c r="AQ43" i="2"/>
  <c r="AP43" i="2"/>
  <c r="AY42" i="2"/>
  <c r="AX42" i="2"/>
  <c r="AW42" i="2"/>
  <c r="AV42" i="2"/>
  <c r="AU42" i="2"/>
  <c r="AT42" i="2"/>
  <c r="AS42" i="2"/>
  <c r="AR42" i="2"/>
  <c r="AQ42" i="2"/>
  <c r="AP42" i="2"/>
  <c r="AY41" i="2"/>
  <c r="AX41" i="2"/>
  <c r="AW41" i="2"/>
  <c r="AV41" i="2"/>
  <c r="AU41" i="2"/>
  <c r="AT41" i="2"/>
  <c r="AS41" i="2"/>
  <c r="AR41" i="2"/>
  <c r="AQ41" i="2"/>
  <c r="AP41" i="2"/>
  <c r="AY40" i="2"/>
  <c r="AX40" i="2"/>
  <c r="AW40" i="2"/>
  <c r="AV40" i="2"/>
  <c r="AU40" i="2"/>
  <c r="AT40" i="2"/>
  <c r="AS40" i="2"/>
  <c r="AR40" i="2"/>
  <c r="AQ40" i="2"/>
  <c r="AP40" i="2"/>
  <c r="AY39" i="2"/>
  <c r="AX39" i="2"/>
  <c r="AW39" i="2"/>
  <c r="AV39" i="2"/>
  <c r="AU39" i="2"/>
  <c r="AT39" i="2"/>
  <c r="AS39" i="2"/>
  <c r="AR39" i="2"/>
  <c r="AQ39" i="2"/>
  <c r="AP39" i="2"/>
  <c r="AY38" i="2"/>
  <c r="AX38" i="2"/>
  <c r="AW38" i="2"/>
  <c r="AV38" i="2"/>
  <c r="AU38" i="2"/>
  <c r="AT38" i="2"/>
  <c r="AS38" i="2"/>
  <c r="AR38" i="2"/>
  <c r="AQ38" i="2"/>
  <c r="AP38" i="2"/>
  <c r="AY37" i="2"/>
  <c r="AX37" i="2"/>
  <c r="AW37" i="2"/>
  <c r="AV37" i="2"/>
  <c r="AU37" i="2"/>
  <c r="AT37" i="2"/>
  <c r="AS37" i="2"/>
  <c r="AR37" i="2"/>
  <c r="AQ37" i="2"/>
  <c r="AP37" i="2"/>
  <c r="AY36" i="2"/>
  <c r="AX36" i="2"/>
  <c r="AW36" i="2"/>
  <c r="AV36" i="2"/>
  <c r="AU36" i="2"/>
  <c r="AT36" i="2"/>
  <c r="AS36" i="2"/>
  <c r="AR36" i="2"/>
  <c r="AQ36" i="2"/>
  <c r="AP36" i="2"/>
  <c r="AY35" i="2"/>
  <c r="AX35" i="2"/>
  <c r="AW35" i="2"/>
  <c r="AV35" i="2"/>
  <c r="AU35" i="2"/>
  <c r="AT35" i="2"/>
  <c r="AS35" i="2"/>
  <c r="AR35" i="2"/>
  <c r="AQ35" i="2"/>
  <c r="AP35" i="2"/>
  <c r="AY34" i="2"/>
  <c r="AX34" i="2"/>
  <c r="AW34" i="2"/>
  <c r="AV34" i="2"/>
  <c r="AU34" i="2"/>
  <c r="AT34" i="2"/>
  <c r="AS34" i="2"/>
  <c r="AR34" i="2"/>
  <c r="AQ34" i="2"/>
  <c r="AP34" i="2"/>
  <c r="AY33" i="2"/>
  <c r="AX33" i="2"/>
  <c r="AW33" i="2"/>
  <c r="AV33" i="2"/>
  <c r="AU33" i="2"/>
  <c r="AT33" i="2"/>
  <c r="AS33" i="2"/>
  <c r="AR33" i="2"/>
  <c r="AQ33" i="2"/>
  <c r="AP33" i="2"/>
  <c r="AY32" i="2"/>
  <c r="AX32" i="2"/>
  <c r="AW32" i="2"/>
  <c r="AV32" i="2"/>
  <c r="AU32" i="2"/>
  <c r="AT32" i="2"/>
  <c r="AS32" i="2"/>
  <c r="AR32" i="2"/>
  <c r="AQ32" i="2"/>
  <c r="AP32" i="2"/>
  <c r="AY31" i="2"/>
  <c r="AX31" i="2"/>
  <c r="AW31" i="2"/>
  <c r="AV31" i="2"/>
  <c r="AU31" i="2"/>
  <c r="AT31" i="2"/>
  <c r="AS31" i="2"/>
  <c r="AR31" i="2"/>
  <c r="AQ31" i="2"/>
  <c r="AP31" i="2"/>
  <c r="AY30" i="2"/>
  <c r="AX30" i="2"/>
  <c r="AW30" i="2"/>
  <c r="AV30" i="2"/>
  <c r="AU30" i="2"/>
  <c r="AT30" i="2"/>
  <c r="AS30" i="2"/>
  <c r="AR30" i="2"/>
  <c r="AQ30" i="2"/>
  <c r="AP30" i="2"/>
  <c r="AY29" i="2"/>
  <c r="AX29" i="2"/>
  <c r="AW29" i="2"/>
  <c r="AV29" i="2"/>
  <c r="AU29" i="2"/>
  <c r="AT29" i="2"/>
  <c r="AS29" i="2"/>
  <c r="AR29" i="2"/>
  <c r="AQ29" i="2"/>
  <c r="AP29" i="2"/>
  <c r="AY28" i="2"/>
  <c r="AX28" i="2"/>
  <c r="AW28" i="2"/>
  <c r="AV28" i="2"/>
  <c r="AU28" i="2"/>
  <c r="AT28" i="2"/>
  <c r="AS28" i="2"/>
  <c r="AR28" i="2"/>
  <c r="AQ28" i="2"/>
  <c r="AP28" i="2"/>
  <c r="AY27" i="2"/>
  <c r="AX27" i="2"/>
  <c r="AW27" i="2"/>
  <c r="AV27" i="2"/>
  <c r="AU27" i="2"/>
  <c r="AT27" i="2"/>
  <c r="AS27" i="2"/>
  <c r="AR27" i="2"/>
  <c r="AQ27" i="2"/>
  <c r="AP27" i="2"/>
  <c r="AY26" i="2"/>
  <c r="AX26" i="2"/>
  <c r="AW26" i="2"/>
  <c r="AV26" i="2"/>
  <c r="AU26" i="2"/>
  <c r="AT26" i="2"/>
  <c r="AS26" i="2"/>
  <c r="AR26" i="2"/>
  <c r="AQ26" i="2"/>
  <c r="AP26" i="2"/>
  <c r="AY25" i="2"/>
  <c r="AX25" i="2"/>
  <c r="AW25" i="2"/>
  <c r="AV25" i="2"/>
  <c r="AU25" i="2"/>
  <c r="AT25" i="2"/>
  <c r="AS25" i="2"/>
  <c r="AR25" i="2"/>
  <c r="AQ25" i="2"/>
  <c r="AP25" i="2"/>
  <c r="AY24" i="2"/>
  <c r="AX24" i="2"/>
  <c r="AW24" i="2"/>
  <c r="AV24" i="2"/>
  <c r="AU24" i="2"/>
  <c r="AT24" i="2"/>
  <c r="AS24" i="2"/>
  <c r="AR24" i="2"/>
  <c r="AQ24" i="2"/>
  <c r="AP24" i="2"/>
  <c r="AY23" i="2"/>
  <c r="AX23" i="2"/>
  <c r="AW23" i="2"/>
  <c r="AV23" i="2"/>
  <c r="AU23" i="2"/>
  <c r="AT23" i="2"/>
  <c r="AS23" i="2"/>
  <c r="AR23" i="2"/>
  <c r="AQ23" i="2"/>
  <c r="AP23" i="2"/>
  <c r="AY22" i="2"/>
  <c r="AX22" i="2"/>
  <c r="AW22" i="2"/>
  <c r="AV22" i="2"/>
  <c r="AU22" i="2"/>
  <c r="AT22" i="2"/>
  <c r="AS22" i="2"/>
  <c r="AR22" i="2"/>
  <c r="AQ22" i="2"/>
  <c r="AP22" i="2"/>
  <c r="AY21" i="2"/>
  <c r="AX21" i="2"/>
  <c r="AW21" i="2"/>
  <c r="AV21" i="2"/>
  <c r="AU21" i="2"/>
  <c r="AT21" i="2"/>
  <c r="AS21" i="2"/>
  <c r="AR21" i="2"/>
  <c r="AQ21" i="2"/>
  <c r="AP21" i="2"/>
  <c r="AY20" i="2"/>
  <c r="AX20" i="2"/>
  <c r="AW20" i="2"/>
  <c r="AV20" i="2"/>
  <c r="AU20" i="2"/>
  <c r="AT20" i="2"/>
  <c r="AS20" i="2"/>
  <c r="AR20" i="2"/>
  <c r="AQ20" i="2"/>
  <c r="AP20" i="2"/>
  <c r="AY19" i="2"/>
  <c r="AX19" i="2"/>
  <c r="AW19" i="2"/>
  <c r="AV19" i="2"/>
  <c r="AU19" i="2"/>
  <c r="AT19" i="2"/>
  <c r="AS19" i="2"/>
  <c r="AR19" i="2"/>
  <c r="AQ19" i="2"/>
  <c r="AP19" i="2"/>
  <c r="AY18" i="2"/>
  <c r="AX18" i="2"/>
  <c r="AW18" i="2"/>
  <c r="AV18" i="2"/>
  <c r="AU18" i="2"/>
  <c r="AT18" i="2"/>
  <c r="AS18" i="2"/>
  <c r="AR18" i="2"/>
  <c r="AQ18" i="2"/>
  <c r="AP18" i="2"/>
  <c r="AY17" i="2"/>
  <c r="AX17" i="2"/>
  <c r="AW17" i="2"/>
  <c r="AV17" i="2"/>
  <c r="AU17" i="2"/>
  <c r="AT17" i="2"/>
  <c r="AS17" i="2"/>
  <c r="AR17" i="2"/>
  <c r="AQ17" i="2"/>
  <c r="AP17" i="2"/>
  <c r="AY16" i="2"/>
  <c r="AX16" i="2"/>
  <c r="AW16" i="2"/>
  <c r="AV16" i="2"/>
  <c r="AU16" i="2"/>
  <c r="AT16" i="2"/>
  <c r="AS16" i="2"/>
  <c r="AR16" i="2"/>
  <c r="AQ16" i="2"/>
  <c r="AP16" i="2"/>
  <c r="AY15" i="2"/>
  <c r="AX15" i="2"/>
  <c r="AW15" i="2"/>
  <c r="AV15" i="2"/>
  <c r="AU15" i="2"/>
  <c r="AT15" i="2"/>
  <c r="AS15" i="2"/>
  <c r="AR15" i="2"/>
  <c r="AQ15" i="2"/>
  <c r="AP15" i="2"/>
  <c r="AY14" i="2"/>
  <c r="AX14" i="2"/>
  <c r="AW14" i="2"/>
  <c r="AV14" i="2"/>
  <c r="AU14" i="2"/>
  <c r="AT14" i="2"/>
  <c r="AS14" i="2"/>
  <c r="AR14" i="2"/>
  <c r="AQ14" i="2"/>
  <c r="AP14" i="2"/>
  <c r="AY13" i="2"/>
  <c r="AX13" i="2"/>
  <c r="AW13" i="2"/>
  <c r="AV13" i="2"/>
  <c r="AU13" i="2"/>
  <c r="AT13" i="2"/>
  <c r="AS13" i="2"/>
  <c r="AR13" i="2"/>
  <c r="AQ13" i="2"/>
  <c r="AP13" i="2"/>
  <c r="AY12" i="2"/>
  <c r="AX12" i="2"/>
  <c r="AW12" i="2"/>
  <c r="AV12" i="2"/>
  <c r="AU12" i="2"/>
  <c r="AT12" i="2"/>
  <c r="AS12" i="2"/>
  <c r="AR12" i="2"/>
  <c r="AQ12" i="2"/>
  <c r="AP12" i="2"/>
  <c r="AY11" i="2"/>
  <c r="AX11" i="2"/>
  <c r="AW11" i="2"/>
  <c r="AV11" i="2"/>
  <c r="AU11" i="2"/>
  <c r="AT11" i="2"/>
  <c r="AS11" i="2"/>
  <c r="AR11" i="2"/>
  <c r="AQ11" i="2"/>
  <c r="AP11" i="2"/>
  <c r="AY10" i="2"/>
  <c r="AX10" i="2"/>
  <c r="AW10" i="2"/>
  <c r="AV10" i="2"/>
  <c r="AU10" i="2"/>
  <c r="AT10" i="2"/>
  <c r="AS10" i="2"/>
  <c r="AR10" i="2"/>
  <c r="AQ10" i="2"/>
  <c r="AP10" i="2"/>
  <c r="AY9" i="2"/>
  <c r="AX9" i="2"/>
  <c r="AW9" i="2"/>
  <c r="AV9" i="2"/>
  <c r="AU9" i="2"/>
  <c r="AT9" i="2"/>
  <c r="AS9" i="2"/>
  <c r="AR9" i="2"/>
  <c r="AQ9" i="2"/>
  <c r="AP9" i="2"/>
  <c r="AY8" i="2"/>
  <c r="AX8" i="2"/>
  <c r="AW8" i="2"/>
  <c r="AV8" i="2"/>
  <c r="AU8" i="2"/>
  <c r="AT8" i="2"/>
  <c r="AS8" i="2"/>
  <c r="AR8" i="2"/>
  <c r="AQ8" i="2"/>
  <c r="AP8" i="2"/>
  <c r="AY7" i="2"/>
  <c r="AX7" i="2"/>
  <c r="AW7" i="2"/>
  <c r="AV7" i="2"/>
  <c r="AU7" i="2"/>
  <c r="AT7" i="2"/>
  <c r="AS7" i="2"/>
  <c r="AR7" i="2"/>
  <c r="AQ7" i="2"/>
  <c r="AP7" i="2"/>
  <c r="AY6" i="2"/>
  <c r="AX6" i="2"/>
  <c r="AW6" i="2"/>
  <c r="AV6" i="2"/>
  <c r="AU6" i="2"/>
  <c r="AT6" i="2"/>
  <c r="AS6" i="2"/>
  <c r="AR6" i="2"/>
  <c r="AQ6" i="2"/>
  <c r="AP6" i="2"/>
  <c r="AY5" i="2"/>
  <c r="AX5" i="2"/>
  <c r="AW5" i="2"/>
  <c r="AV5" i="2"/>
  <c r="AU5" i="2"/>
  <c r="AT5" i="2"/>
  <c r="AS5" i="2"/>
  <c r="AR5" i="2"/>
  <c r="AQ5" i="2"/>
  <c r="AP5" i="2"/>
  <c r="AY4" i="2"/>
  <c r="AX4" i="2"/>
  <c r="AW4" i="2"/>
  <c r="AV4" i="2"/>
  <c r="AU4" i="2"/>
  <c r="AT4" i="2"/>
  <c r="AS4" i="2"/>
  <c r="AR4" i="2"/>
  <c r="AQ4" i="2"/>
  <c r="AP4" i="2"/>
  <c r="AY3" i="2"/>
  <c r="AX3" i="2"/>
  <c r="AW3" i="2"/>
  <c r="AV3" i="2"/>
  <c r="AU3" i="2"/>
  <c r="AT3" i="2"/>
  <c r="AS3" i="2"/>
  <c r="AR3" i="2"/>
  <c r="AQ3" i="2"/>
  <c r="AP3" i="2"/>
  <c r="AY2" i="2"/>
  <c r="AX2" i="2"/>
  <c r="AW2" i="2"/>
  <c r="AV2" i="2"/>
  <c r="AU2" i="2"/>
  <c r="AT2" i="2"/>
  <c r="AS2" i="2"/>
  <c r="AR2" i="2"/>
  <c r="AQ2" i="2"/>
  <c r="AP2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O41" i="2" l="1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<sst xmlns="http://schemas.openxmlformats.org/spreadsheetml/2006/main" count="7" uniqueCount="7">
  <si>
    <t>Фронт с прогретым слоем</t>
  </si>
  <si>
    <t>Прогретая точка</t>
  </si>
  <si>
    <t>Путь:</t>
  </si>
  <si>
    <t>Коэффициент</t>
  </si>
  <si>
    <t>Шагов</t>
  </si>
  <si>
    <t>Скорость</t>
  </si>
  <si>
    <t>Рачет допстимой погрешности углов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</si>
</sst>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0.000000"/>
    <numFmt numFmtId="167" formatCode="0.0"/>
  </numFmts>
  <fonts count="5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2" fontId="1" fillId="0" borderId="0" xfId="0" applyNumberFormat="1" applyFont="1"/>
    <xf numFmtId="1" fontId="1" fillId="0" borderId="0" xfId="0" applyNumberFormat="1" applyFont="1"/>
    <xf numFmtId="1" fontId="1" fillId="2" borderId="2" xfId="0" applyNumberFormat="1" applyFont="1" applyFill="1" applyBorder="1"/>
    <xf numFmtId="1" fontId="1" fillId="2" borderId="3" xfId="0" applyNumberFormat="1" applyFont="1" applyFill="1" applyBorder="1"/>
    <xf numFmtId="1" fontId="1" fillId="2" borderId="4" xfId="0" applyNumberFormat="1" applyFont="1" applyFill="1" applyBorder="1"/>
    <xf numFmtId="1" fontId="1" fillId="2" borderId="1" xfId="0" applyNumberFormat="1" applyFont="1" applyFill="1" applyBorder="1"/>
    <xf numFmtId="1" fontId="1" fillId="2" borderId="5" xfId="0" applyNumberFormat="1" applyFont="1" applyFill="1" applyBorder="1"/>
    <xf numFmtId="1" fontId="1" fillId="2" borderId="6" xfId="0" applyNumberFormat="1" applyFont="1" applyFill="1" applyBorder="1"/>
    <xf numFmtId="1" fontId="1" fillId="2" borderId="7" xfId="0" applyNumberFormat="1" applyFont="1" applyFill="1" applyBorder="1"/>
    <xf numFmtId="1" fontId="1" fillId="2" borderId="8" xfId="0" applyNumberFormat="1" applyFont="1" applyFill="1" applyBorder="1"/>
    <xf numFmtId="1" fontId="1" fillId="2" borderId="9" xfId="0" applyNumberFormat="1" applyFont="1" applyFill="1" applyBorder="1"/>
    <xf numFmtId="2" fontId="1" fillId="0" borderId="10" xfId="0" applyNumberFormat="1" applyFont="1" applyBorder="1"/>
    <xf numFmtId="1" fontId="1" fillId="0" borderId="10" xfId="0" applyNumberFormat="1" applyFont="1" applyBorder="1"/>
    <xf numFmtId="1" fontId="1" fillId="2" borderId="11" xfId="0" applyNumberFormat="1" applyFont="1" applyFill="1" applyBorder="1"/>
    <xf numFmtId="1" fontId="1" fillId="0" borderId="0" xfId="0" applyNumberFormat="1" applyFont="1" applyBorder="1"/>
    <xf numFmtId="164" fontId="1" fillId="0" borderId="0" xfId="0" applyNumberFormat="1" applyFont="1"/>
    <xf numFmtId="164" fontId="1" fillId="2" borderId="8" xfId="0" applyNumberFormat="1" applyFont="1" applyFill="1" applyBorder="1"/>
    <xf numFmtId="2" fontId="1" fillId="0" borderId="1" xfId="0" applyNumberFormat="1" applyFont="1" applyBorder="1"/>
    <xf numFmtId="2" fontId="1" fillId="0" borderId="12" xfId="0" applyNumberFormat="1" applyFont="1" applyBorder="1"/>
    <xf numFmtId="2" fontId="1" fillId="0" borderId="0" xfId="0" applyNumberFormat="1" applyFont="1" applyBorder="1"/>
    <xf numFmtId="2" fontId="1" fillId="0" borderId="13" xfId="0" applyNumberFormat="1" applyFont="1" applyBorder="1"/>
    <xf numFmtId="1" fontId="1" fillId="0" borderId="0" xfId="0" applyNumberFormat="1" applyFont="1" applyFill="1" applyBorder="1"/>
    <xf numFmtId="164" fontId="1" fillId="0" borderId="0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2" fontId="3" fillId="0" borderId="0" xfId="0" applyNumberFormat="1" applyFont="1"/>
    <xf numFmtId="2" fontId="1" fillId="0" borderId="14" xfId="0" applyNumberFormat="1" applyFont="1" applyBorder="1"/>
    <xf numFmtId="2" fontId="1" fillId="0" borderId="15" xfId="0" applyNumberFormat="1" applyFont="1" applyBorder="1"/>
    <xf numFmtId="2" fontId="1" fillId="0" borderId="16" xfId="0" applyNumberFormat="1" applyFont="1" applyBorder="1"/>
    <xf numFmtId="2" fontId="1" fillId="0" borderId="17" xfId="0" applyNumberFormat="1" applyFont="1" applyBorder="1"/>
    <xf numFmtId="2" fontId="1" fillId="0" borderId="18" xfId="0" applyNumberFormat="1" applyFont="1" applyBorder="1"/>
    <xf numFmtId="2" fontId="1" fillId="0" borderId="19" xfId="0" applyNumberFormat="1" applyFont="1" applyBorder="1"/>
    <xf numFmtId="2" fontId="1" fillId="0" borderId="20" xfId="0" applyNumberFormat="1" applyFont="1" applyBorder="1"/>
    <xf numFmtId="2" fontId="1" fillId="0" borderId="21" xfId="0" applyNumberFormat="1" applyFont="1" applyBorder="1"/>
    <xf numFmtId="2" fontId="1" fillId="0" borderId="22" xfId="0" applyNumberFormat="1" applyFont="1" applyBorder="1"/>
    <xf numFmtId="2" fontId="1" fillId="0" borderId="23" xfId="0" applyNumberFormat="1" applyFont="1" applyBorder="1"/>
    <xf numFmtId="1" fontId="1" fillId="0" borderId="24" xfId="0" applyNumberFormat="1" applyFont="1" applyBorder="1"/>
    <xf numFmtId="2" fontId="1" fillId="0" borderId="25" xfId="0" applyNumberFormat="1" applyFont="1" applyBorder="1"/>
    <xf numFmtId="2" fontId="1" fillId="0" borderId="26" xfId="0" applyNumberFormat="1" applyFont="1" applyBorder="1"/>
    <xf numFmtId="1" fontId="1" fillId="0" borderId="26" xfId="0" applyNumberFormat="1" applyFont="1" applyBorder="1"/>
    <xf numFmtId="1" fontId="1" fillId="0" borderId="5" xfId="0" applyNumberFormat="1" applyFont="1" applyBorder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  <xf numFmtId="1" fontId="4" fillId="0" borderId="0" xfId="0" applyNumberFormat="1" applyFont="1"/>
    <xf numFmtId="2" fontId="1" fillId="0" borderId="27" xfId="0" applyNumberFormat="1" applyFont="1" applyBorder="1"/>
    <xf numFmtId="2" fontId="1" fillId="0" borderId="28" xfId="0" applyNumberFormat="1" applyFont="1" applyBorder="1"/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'Расчет скоростей'!$D$6</c:f>
              <c:strCache>
                <c:ptCount val="1"/>
                <c:pt idx="0">
                  <c:v>Скорость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'Расчет скоростей'!$F$4:$AS$4</c:f>
              <c:numCache>
                <c:formatCode>0.0</c:formatCode>
                <c:ptCount val="40"/>
                <c:pt idx="0">
                  <c:v>9.9999999999999006E-2</c:v>
                </c:pt>
                <c:pt idx="1">
                  <c:v>0.19999999999999901</c:v>
                </c:pt>
                <c:pt idx="2">
                  <c:v>0.29999999999999899</c:v>
                </c:pt>
                <c:pt idx="3">
                  <c:v>0.39999999999999902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</c:numCache>
            </c:numRef>
          </c:cat>
          <c:val>
            <c:numRef>
              <c:f>'Расчет скоростей'!$F$6:$AS$6</c:f>
              <c:numCache>
                <c:formatCode>0.000000</c:formatCode>
                <c:ptCount val="40"/>
                <c:pt idx="0">
                  <c:v>8.4175084175084181E-2</c:v>
                </c:pt>
                <c:pt idx="1">
                  <c:v>0.16286644951140064</c:v>
                </c:pt>
                <c:pt idx="2">
                  <c:v>0.2304147465437788</c:v>
                </c:pt>
                <c:pt idx="3">
                  <c:v>0.29239766081871343</c:v>
                </c:pt>
                <c:pt idx="4">
                  <c:v>0.34722222222222221</c:v>
                </c:pt>
                <c:pt idx="5">
                  <c:v>0.39370078740157483</c:v>
                </c:pt>
                <c:pt idx="6">
                  <c:v>0.45045045045045046</c:v>
                </c:pt>
                <c:pt idx="7">
                  <c:v>0.49019607843137253</c:v>
                </c:pt>
                <c:pt idx="8">
                  <c:v>0.52631578947368418</c:v>
                </c:pt>
                <c:pt idx="9">
                  <c:v>0.5617977528089888</c:v>
                </c:pt>
                <c:pt idx="10">
                  <c:v>0.60240963855421692</c:v>
                </c:pt>
                <c:pt idx="11">
                  <c:v>0.64102564102564108</c:v>
                </c:pt>
                <c:pt idx="12">
                  <c:v>0.65789473684210531</c:v>
                </c:pt>
                <c:pt idx="13">
                  <c:v>0.69444444444444442</c:v>
                </c:pt>
                <c:pt idx="14">
                  <c:v>0.7142857142857143</c:v>
                </c:pt>
                <c:pt idx="15">
                  <c:v>0.74626865671641796</c:v>
                </c:pt>
                <c:pt idx="16">
                  <c:v>0.75757575757575757</c:v>
                </c:pt>
                <c:pt idx="17">
                  <c:v>0.78125</c:v>
                </c:pt>
                <c:pt idx="18">
                  <c:v>0.80645161290322576</c:v>
                </c:pt>
                <c:pt idx="19">
                  <c:v>0.81967213114754101</c:v>
                </c:pt>
                <c:pt idx="20">
                  <c:v>0.84745762711864403</c:v>
                </c:pt>
                <c:pt idx="21">
                  <c:v>0.86206896551724133</c:v>
                </c:pt>
                <c:pt idx="22">
                  <c:v>0.8771929824561403</c:v>
                </c:pt>
                <c:pt idx="23">
                  <c:v>0.8928571428571429</c:v>
                </c:pt>
                <c:pt idx="24">
                  <c:v>0.90909090909090906</c:v>
                </c:pt>
                <c:pt idx="25">
                  <c:v>0.92592592592592593</c:v>
                </c:pt>
                <c:pt idx="26">
                  <c:v>0.94339622641509435</c:v>
                </c:pt>
                <c:pt idx="27">
                  <c:v>0.96153846153846156</c:v>
                </c:pt>
                <c:pt idx="28">
                  <c:v>0.96153846153846156</c:v>
                </c:pt>
                <c:pt idx="29">
                  <c:v>0.98039215686274506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44640"/>
        <c:axId val="183151920"/>
      </c:lineChart>
      <c:catAx>
        <c:axId val="183144640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151920"/>
        <c:crosses val="autoZero"/>
        <c:auto val="1"/>
        <c:lblAlgn val="ctr"/>
        <c:lblOffset val="100"/>
        <c:noMultiLvlLbl val="0"/>
      </c:catAx>
      <c:valAx>
        <c:axId val="18315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14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105</xdr:col>
          <xdr:colOff>295275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107</xdr:col>
          <xdr:colOff>114300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107</xdr:col>
          <xdr:colOff>85725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13</xdr:row>
      <xdr:rowOff>14287</xdr:rowOff>
    </xdr:from>
    <xdr:to>
      <xdr:col>16</xdr:col>
      <xdr:colOff>466725</xdr:colOff>
      <xdr:row>27</xdr:row>
      <xdr:rowOff>90487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X193"/>
  <sheetViews>
    <sheetView tabSelected="1" zoomScaleNormal="100" workbookViewId="0">
      <selection activeCell="U22" sqref="U22"/>
    </sheetView>
  </sheetViews>
  <sheetFormatPr defaultColWidth="4.7109375" defaultRowHeight="12" x14ac:dyDescent="0.2"/>
  <cols>
    <col min="1" max="1" width="4.85546875" style="1" bestFit="1" customWidth="1"/>
    <col min="2" max="3" width="8.140625" style="1" bestFit="1" customWidth="1"/>
    <col min="4" max="4" width="4.85546875" style="1" bestFit="1" customWidth="1"/>
    <col min="5" max="5" width="7.28515625" style="1" bestFit="1" customWidth="1"/>
    <col min="6" max="6" width="5.85546875" style="1" bestFit="1" customWidth="1"/>
    <col min="7" max="7" width="4.85546875" style="1" bestFit="1" customWidth="1"/>
    <col min="8" max="8" width="5.85546875" style="1" bestFit="1" customWidth="1"/>
    <col min="9" max="9" width="7.28515625" style="1" bestFit="1" customWidth="1"/>
    <col min="10" max="10" width="5.85546875" style="1" bestFit="1" customWidth="1"/>
    <col min="11" max="12" width="5.7109375" style="1" bestFit="1" customWidth="1"/>
    <col min="13" max="13" width="5.85546875" style="1" bestFit="1" customWidth="1"/>
    <col min="14" max="14" width="7.28515625" style="1" bestFit="1" customWidth="1"/>
    <col min="15" max="15" width="5.7109375" style="1" bestFit="1" customWidth="1"/>
    <col min="16" max="16" width="5.85546875" style="1" bestFit="1" customWidth="1"/>
    <col min="17" max="17" width="8.140625" style="1" bestFit="1" customWidth="1"/>
    <col min="18" max="18" width="5.7109375" style="1" bestFit="1" customWidth="1"/>
    <col min="19" max="19" width="8.140625" style="1" bestFit="1" customWidth="1"/>
    <col min="20" max="20" width="6.7109375" style="1" customWidth="1"/>
    <col min="21" max="28" width="5.7109375" style="1" bestFit="1" customWidth="1"/>
    <col min="29" max="29" width="5.7109375" style="12" bestFit="1" customWidth="1"/>
    <col min="30" max="30" width="7.28515625" style="1" bestFit="1" customWidth="1"/>
    <col min="31" max="31" width="5.7109375" style="1" bestFit="1" customWidth="1"/>
    <col min="32" max="32" width="7.140625" style="1" customWidth="1"/>
    <col min="33" max="33" width="8.140625" style="1" bestFit="1" customWidth="1"/>
    <col min="34" max="34" width="6.7109375" style="1" bestFit="1" customWidth="1"/>
    <col min="35" max="35" width="5.85546875" style="1" bestFit="1" customWidth="1"/>
    <col min="36" max="37" width="8.140625" style="1" bestFit="1" customWidth="1"/>
    <col min="38" max="38" width="8.42578125" style="1" customWidth="1"/>
    <col min="39" max="39" width="9.140625" style="1" customWidth="1"/>
    <col min="40" max="40" width="7.140625" style="1" bestFit="1" customWidth="1"/>
    <col min="41" max="42" width="4.7109375" style="1"/>
    <col min="43" max="43" width="8" style="1" bestFit="1" customWidth="1"/>
    <col min="44" max="44" width="4.7109375" style="1"/>
    <col min="45" max="45" width="7.140625" style="1" bestFit="1" customWidth="1"/>
    <col min="46" max="47" width="4.7109375" style="1"/>
    <col min="48" max="49" width="5.7109375" style="1" bestFit="1" customWidth="1"/>
    <col min="50" max="58" width="4.7109375" style="1"/>
    <col min="59" max="59" width="5.7109375" style="1" bestFit="1" customWidth="1"/>
    <col min="60" max="73" width="4.7109375" style="1"/>
    <col min="74" max="74" width="8" style="1" bestFit="1" customWidth="1"/>
    <col min="75" max="93" width="4.7109375" style="1"/>
    <col min="94" max="94" width="5.7109375" style="1" bestFit="1" customWidth="1"/>
    <col min="95" max="98" width="4.7109375" style="1"/>
    <col min="99" max="99" width="8" style="1" bestFit="1" customWidth="1"/>
    <col min="100" max="101" width="4.7109375" style="1"/>
    <col min="102" max="102" width="7.140625" style="1" bestFit="1" customWidth="1"/>
    <col min="103" max="16384" width="4.7109375" style="1"/>
  </cols>
  <sheetData>
    <row r="1" spans="1:102" x14ac:dyDescent="0.2">
      <c r="A1" s="45">
        <v>1</v>
      </c>
      <c r="B1" s="45">
        <v>2</v>
      </c>
      <c r="C1" s="45">
        <v>3</v>
      </c>
      <c r="D1" s="45">
        <v>4</v>
      </c>
      <c r="E1" s="45">
        <v>5</v>
      </c>
      <c r="F1" s="45">
        <v>6</v>
      </c>
      <c r="G1" s="45">
        <v>7</v>
      </c>
      <c r="H1" s="45">
        <v>8</v>
      </c>
      <c r="I1" s="45">
        <v>9</v>
      </c>
      <c r="J1" s="45">
        <v>10</v>
      </c>
      <c r="K1" s="45">
        <v>11</v>
      </c>
      <c r="L1" s="45">
        <v>12</v>
      </c>
      <c r="M1" s="45">
        <v>13</v>
      </c>
      <c r="N1" s="45">
        <v>14</v>
      </c>
      <c r="O1" s="45">
        <v>15</v>
      </c>
      <c r="P1" s="45">
        <v>16</v>
      </c>
      <c r="Q1" s="45">
        <v>17</v>
      </c>
      <c r="R1" s="45">
        <v>18</v>
      </c>
      <c r="S1" s="45">
        <v>19</v>
      </c>
      <c r="T1" s="45">
        <v>20</v>
      </c>
      <c r="U1" s="45">
        <v>21</v>
      </c>
      <c r="V1" s="45">
        <v>22</v>
      </c>
      <c r="W1" s="45">
        <v>23</v>
      </c>
      <c r="X1" s="45">
        <v>24</v>
      </c>
      <c r="Y1" s="45">
        <v>25</v>
      </c>
      <c r="Z1" s="45">
        <v>26</v>
      </c>
      <c r="AA1" s="45">
        <v>27</v>
      </c>
      <c r="AB1" s="45">
        <v>28</v>
      </c>
      <c r="AC1" s="45">
        <v>29</v>
      </c>
      <c r="AD1" s="45">
        <v>30</v>
      </c>
      <c r="AE1" s="45">
        <v>31</v>
      </c>
      <c r="AF1" s="45">
        <v>32</v>
      </c>
      <c r="AG1" s="45">
        <v>33</v>
      </c>
      <c r="AH1" s="45">
        <v>34</v>
      </c>
      <c r="AI1" s="45">
        <v>35</v>
      </c>
      <c r="AJ1" s="45">
        <v>36</v>
      </c>
      <c r="AK1" s="45">
        <v>37</v>
      </c>
      <c r="AL1" s="1">
        <v>-8443.6038969320816</v>
      </c>
      <c r="AM1" s="1">
        <v>-8443.6038969320816</v>
      </c>
      <c r="AN1" s="1">
        <v>-8443.6038969320816</v>
      </c>
      <c r="AO1" s="1">
        <v>-8443.6038969320816</v>
      </c>
      <c r="AP1" s="1">
        <v>-8443.6038969320816</v>
      </c>
      <c r="AQ1" s="1">
        <v>-8443.6038969320816</v>
      </c>
      <c r="AR1" s="1">
        <v>-8893.6038969320816</v>
      </c>
      <c r="AS1" s="1">
        <v>-9080</v>
      </c>
      <c r="AT1" s="1">
        <v>-8893.6038969320816</v>
      </c>
      <c r="AU1" s="1">
        <v>-8443.6038969320816</v>
      </c>
      <c r="AV1" s="1">
        <v>-8443.6038969320816</v>
      </c>
      <c r="AW1" s="1">
        <v>-8443.6038969320816</v>
      </c>
      <c r="AX1" s="1">
        <v>-8443.6038969320816</v>
      </c>
      <c r="AY1" s="1">
        <v>-8443.6038969320816</v>
      </c>
      <c r="AZ1" s="1">
        <v>-8443.6038969320816</v>
      </c>
      <c r="BA1" s="1">
        <v>-8443.6038969320816</v>
      </c>
      <c r="BB1" s="1">
        <v>-8893.6038969320816</v>
      </c>
      <c r="BC1" s="1">
        <v>-9080</v>
      </c>
      <c r="BD1" s="1">
        <v>-8893.6038969320816</v>
      </c>
      <c r="BE1" s="1">
        <v>-8443.6038969320816</v>
      </c>
      <c r="BF1" s="1">
        <v>-8443.6038969320816</v>
      </c>
      <c r="BG1" s="1">
        <v>-8443.6038969320816</v>
      </c>
      <c r="BH1" s="1">
        <v>-8443.6038969320816</v>
      </c>
      <c r="BI1" s="1">
        <v>-8443.6038969320816</v>
      </c>
      <c r="BJ1" s="1">
        <v>-8443.6038969320816</v>
      </c>
      <c r="BK1" s="1">
        <v>-8443.6038969320816</v>
      </c>
      <c r="BL1" s="1">
        <v>-8443.6038969320816</v>
      </c>
      <c r="BM1" s="1">
        <v>-8893.6038969320816</v>
      </c>
      <c r="BN1" s="1">
        <v>-9530</v>
      </c>
      <c r="BO1" s="1">
        <v>-9980</v>
      </c>
      <c r="BP1" s="1">
        <v>-9980</v>
      </c>
      <c r="BQ1" s="1">
        <v>-9980</v>
      </c>
      <c r="BR1" s="1">
        <v>-9980</v>
      </c>
      <c r="BS1" s="1">
        <v>-9980</v>
      </c>
      <c r="BT1" s="1">
        <v>-9980</v>
      </c>
      <c r="BU1" s="1">
        <v>-9980</v>
      </c>
      <c r="BV1" s="1">
        <v>-9980</v>
      </c>
      <c r="BW1" s="1">
        <v>-9980</v>
      </c>
      <c r="BX1" s="1">
        <v>-9980</v>
      </c>
      <c r="BY1" s="1">
        <v>-9980</v>
      </c>
      <c r="BZ1" s="1">
        <v>-9980</v>
      </c>
      <c r="CA1" s="1">
        <v>-9980</v>
      </c>
      <c r="CB1" s="1">
        <v>-9980</v>
      </c>
      <c r="CC1" s="1">
        <v>-9980</v>
      </c>
      <c r="CD1" s="1">
        <v>-9980</v>
      </c>
      <c r="CE1" s="1">
        <v>-9980</v>
      </c>
      <c r="CF1" s="1">
        <v>-9980</v>
      </c>
      <c r="CG1" s="1">
        <v>-9980</v>
      </c>
      <c r="CH1" s="1">
        <v>-9980</v>
      </c>
      <c r="CI1" s="1">
        <v>-9980</v>
      </c>
      <c r="CJ1" s="1">
        <v>-9980</v>
      </c>
      <c r="CK1" s="1">
        <v>-9980</v>
      </c>
      <c r="CL1" s="1">
        <v>-9980</v>
      </c>
      <c r="CM1" s="1">
        <v>-9980</v>
      </c>
      <c r="CN1" s="1">
        <v>-9980</v>
      </c>
      <c r="CO1" s="1">
        <v>-9980</v>
      </c>
      <c r="CP1" s="1">
        <v>-9980</v>
      </c>
      <c r="CQ1" s="1">
        <v>-9980</v>
      </c>
      <c r="CR1" s="1">
        <v>-9980</v>
      </c>
      <c r="CS1" s="1">
        <v>-9980</v>
      </c>
      <c r="CT1" s="1">
        <v>-9980</v>
      </c>
      <c r="CU1" s="1">
        <v>-9980</v>
      </c>
      <c r="CV1" s="1">
        <v>-9980</v>
      </c>
      <c r="CW1" s="1">
        <v>-9980</v>
      </c>
    </row>
    <row r="2" spans="1:102" x14ac:dyDescent="0.2">
      <c r="A2" s="1">
        <v>-8917.0038969320831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A2" s="29">
        <v>0</v>
      </c>
      <c r="AB2" s="29">
        <v>0</v>
      </c>
      <c r="AC2" s="29">
        <v>0</v>
      </c>
      <c r="AD2" s="29">
        <v>0</v>
      </c>
      <c r="AE2" s="29">
        <v>0</v>
      </c>
      <c r="AF2" s="29">
        <v>0</v>
      </c>
      <c r="AG2" s="29">
        <v>0</v>
      </c>
      <c r="AH2" s="29">
        <v>0</v>
      </c>
      <c r="AI2" s="29">
        <v>0</v>
      </c>
      <c r="AJ2" s="29">
        <v>0</v>
      </c>
      <c r="AK2" s="29">
        <v>0</v>
      </c>
      <c r="AL2" s="29">
        <v>0</v>
      </c>
      <c r="AM2" s="29">
        <v>0</v>
      </c>
      <c r="AN2" s="29">
        <v>0</v>
      </c>
      <c r="AO2" s="29">
        <v>0</v>
      </c>
      <c r="AP2" s="29">
        <v>0</v>
      </c>
      <c r="AQ2" s="29">
        <v>0</v>
      </c>
      <c r="AR2" s="29">
        <v>0</v>
      </c>
      <c r="AS2" s="29">
        <v>0</v>
      </c>
      <c r="AT2" s="29">
        <v>0</v>
      </c>
      <c r="AU2" s="29">
        <v>0</v>
      </c>
      <c r="AV2" s="29">
        <v>0</v>
      </c>
      <c r="AW2" s="29">
        <v>0</v>
      </c>
      <c r="AX2" s="29">
        <v>0</v>
      </c>
      <c r="AY2" s="29">
        <v>0</v>
      </c>
      <c r="AZ2" s="29">
        <v>0</v>
      </c>
      <c r="BA2" s="29">
        <v>0</v>
      </c>
      <c r="BB2" s="29">
        <v>0</v>
      </c>
      <c r="BC2" s="29">
        <v>0</v>
      </c>
      <c r="BD2" s="29">
        <v>0</v>
      </c>
      <c r="BE2" s="29">
        <v>0</v>
      </c>
      <c r="BF2" s="29">
        <v>0</v>
      </c>
      <c r="BG2" s="29">
        <v>0</v>
      </c>
      <c r="BH2" s="29">
        <v>0</v>
      </c>
      <c r="BI2" s="29">
        <v>0</v>
      </c>
      <c r="BJ2" s="29">
        <v>0</v>
      </c>
      <c r="BK2" s="29">
        <v>0</v>
      </c>
      <c r="BL2" s="29">
        <v>0</v>
      </c>
      <c r="BM2" s="29">
        <v>0</v>
      </c>
      <c r="BN2" s="29">
        <v>0</v>
      </c>
      <c r="BO2" s="29">
        <v>0</v>
      </c>
      <c r="BP2" s="29">
        <v>0</v>
      </c>
      <c r="BQ2" s="29">
        <v>0</v>
      </c>
      <c r="BR2" s="29">
        <v>0</v>
      </c>
      <c r="BS2" s="29">
        <v>0</v>
      </c>
      <c r="BT2" s="29">
        <v>0</v>
      </c>
      <c r="BU2" s="29">
        <v>0</v>
      </c>
      <c r="BV2" s="29">
        <v>0</v>
      </c>
      <c r="BW2" s="29">
        <v>0</v>
      </c>
      <c r="BX2" s="29">
        <v>0</v>
      </c>
      <c r="BY2" s="29">
        <v>0</v>
      </c>
      <c r="BZ2" s="29">
        <v>0</v>
      </c>
      <c r="CA2" s="29">
        <v>0</v>
      </c>
      <c r="CB2" s="29">
        <v>0</v>
      </c>
      <c r="CC2" s="29">
        <v>0</v>
      </c>
      <c r="CD2" s="29">
        <v>0</v>
      </c>
      <c r="CE2" s="29">
        <v>0</v>
      </c>
      <c r="CF2" s="29">
        <v>0</v>
      </c>
      <c r="CG2" s="29">
        <v>0</v>
      </c>
      <c r="CH2" s="29">
        <v>0</v>
      </c>
      <c r="CI2" s="29">
        <v>0</v>
      </c>
      <c r="CJ2" s="29">
        <v>0</v>
      </c>
      <c r="CK2" s="29">
        <v>0</v>
      </c>
      <c r="CL2" s="29">
        <v>0</v>
      </c>
      <c r="CM2" s="29">
        <v>0</v>
      </c>
      <c r="CN2" s="29">
        <v>0</v>
      </c>
      <c r="CO2" s="29">
        <v>0</v>
      </c>
      <c r="CP2" s="29">
        <v>0</v>
      </c>
      <c r="CQ2" s="29">
        <v>0</v>
      </c>
      <c r="CR2" s="29">
        <v>0</v>
      </c>
      <c r="CS2" s="29">
        <v>0</v>
      </c>
      <c r="CT2" s="29">
        <v>0</v>
      </c>
      <c r="CU2" s="29">
        <v>0</v>
      </c>
      <c r="CV2" s="29">
        <v>0</v>
      </c>
      <c r="CW2" s="29">
        <v>0</v>
      </c>
      <c r="CX2" s="29">
        <v>0</v>
      </c>
    </row>
    <row r="3" spans="1:102" x14ac:dyDescent="0.2">
      <c r="A3" s="1">
        <v>-8537.2964942916151</v>
      </c>
      <c r="B3" s="27">
        <v>0</v>
      </c>
      <c r="C3" s="27"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7">
        <v>0</v>
      </c>
      <c r="N3" s="27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7">
        <v>0</v>
      </c>
      <c r="U3" s="27">
        <v>0</v>
      </c>
      <c r="V3" s="27">
        <v>0</v>
      </c>
      <c r="W3" s="27">
        <v>0</v>
      </c>
      <c r="X3" s="27">
        <v>0</v>
      </c>
      <c r="Y3" s="27">
        <v>0</v>
      </c>
      <c r="Z3" s="27">
        <v>0</v>
      </c>
      <c r="AA3" s="27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</row>
    <row r="4" spans="1:102" x14ac:dyDescent="0.2">
      <c r="A4" s="1">
        <v>-8650.1052388118987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1">
        <v>-1000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29">
        <v>0</v>
      </c>
      <c r="BQ4" s="29">
        <v>0</v>
      </c>
      <c r="BR4" s="29">
        <v>0</v>
      </c>
      <c r="BS4" s="29">
        <v>0</v>
      </c>
      <c r="BT4" s="29">
        <v>0</v>
      </c>
      <c r="BU4" s="29">
        <v>0</v>
      </c>
      <c r="BV4" s="29">
        <v>0</v>
      </c>
      <c r="BW4" s="29">
        <v>0</v>
      </c>
      <c r="BX4" s="29">
        <v>0</v>
      </c>
      <c r="BY4" s="29">
        <v>0</v>
      </c>
      <c r="BZ4" s="29">
        <v>0</v>
      </c>
      <c r="CA4" s="29">
        <v>0</v>
      </c>
      <c r="CB4" s="29">
        <v>0</v>
      </c>
      <c r="CC4" s="29">
        <v>0</v>
      </c>
      <c r="CD4" s="29">
        <v>0</v>
      </c>
      <c r="CE4" s="29">
        <v>0</v>
      </c>
      <c r="CF4" s="29">
        <v>0</v>
      </c>
      <c r="CG4" s="29">
        <v>0</v>
      </c>
      <c r="CH4" s="29">
        <v>0</v>
      </c>
      <c r="CI4" s="29">
        <v>0</v>
      </c>
      <c r="CJ4" s="29">
        <v>0</v>
      </c>
      <c r="CK4" s="29">
        <v>0</v>
      </c>
      <c r="CL4" s="29">
        <v>0</v>
      </c>
      <c r="CM4" s="29">
        <v>0</v>
      </c>
      <c r="CN4" s="29">
        <v>0</v>
      </c>
      <c r="CO4" s="29">
        <v>0</v>
      </c>
      <c r="CP4" s="29">
        <v>0</v>
      </c>
      <c r="CQ4" s="29">
        <v>0</v>
      </c>
      <c r="CR4" s="29">
        <v>0</v>
      </c>
      <c r="CS4" s="29">
        <v>0</v>
      </c>
      <c r="CT4" s="29">
        <v>0</v>
      </c>
      <c r="CU4" s="29">
        <v>0</v>
      </c>
      <c r="CV4" s="29">
        <v>0</v>
      </c>
      <c r="CW4" s="29">
        <v>0</v>
      </c>
      <c r="CX4" s="29">
        <v>0</v>
      </c>
    </row>
    <row r="5" spans="1:102" x14ac:dyDescent="0.2">
      <c r="A5" s="1">
        <v>-8775.7482979072302</v>
      </c>
      <c r="B5" s="27">
        <v>0</v>
      </c>
      <c r="C5" s="27">
        <v>0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7">
        <v>0</v>
      </c>
      <c r="N5" s="27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1">
        <v>-1000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7">
        <v>0</v>
      </c>
      <c r="AL5" s="27">
        <v>0</v>
      </c>
      <c r="AM5" s="29">
        <v>0</v>
      </c>
      <c r="AN5" s="27">
        <v>0</v>
      </c>
      <c r="AO5" s="27">
        <v>0</v>
      </c>
      <c r="AP5" s="27">
        <v>0</v>
      </c>
      <c r="AQ5" s="27">
        <v>0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>
        <v>0</v>
      </c>
      <c r="AX5" s="27">
        <v>0</v>
      </c>
      <c r="AY5" s="27">
        <v>0</v>
      </c>
      <c r="AZ5" s="27">
        <v>0</v>
      </c>
      <c r="BA5" s="27">
        <v>0</v>
      </c>
      <c r="BB5" s="27">
        <v>0</v>
      </c>
      <c r="BC5" s="27">
        <v>0</v>
      </c>
      <c r="BD5" s="27">
        <v>0</v>
      </c>
      <c r="BE5" s="27">
        <v>0</v>
      </c>
      <c r="BF5" s="27">
        <v>0</v>
      </c>
      <c r="BG5" s="27">
        <v>0</v>
      </c>
      <c r="BH5" s="27">
        <v>0</v>
      </c>
      <c r="BI5" s="27">
        <v>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7">
        <v>0</v>
      </c>
      <c r="BQ5" s="27">
        <v>0</v>
      </c>
      <c r="BR5" s="27">
        <v>0</v>
      </c>
      <c r="BS5" s="27">
        <v>0</v>
      </c>
      <c r="BT5" s="27">
        <v>0</v>
      </c>
      <c r="BU5" s="27">
        <v>0</v>
      </c>
      <c r="BV5" s="27">
        <v>0</v>
      </c>
      <c r="BW5" s="27">
        <v>0</v>
      </c>
      <c r="BX5" s="27">
        <v>0</v>
      </c>
      <c r="BY5" s="27">
        <v>0</v>
      </c>
      <c r="BZ5" s="27">
        <v>0</v>
      </c>
      <c r="CA5" s="27">
        <v>0</v>
      </c>
      <c r="CB5" s="27">
        <v>0</v>
      </c>
      <c r="CC5" s="27">
        <v>0</v>
      </c>
      <c r="CD5" s="27">
        <v>0</v>
      </c>
      <c r="CE5" s="27">
        <v>0</v>
      </c>
      <c r="CF5" s="27">
        <v>0</v>
      </c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27">
        <v>0</v>
      </c>
      <c r="CP5" s="27">
        <v>0</v>
      </c>
      <c r="CQ5" s="27">
        <v>0</v>
      </c>
      <c r="CR5" s="27">
        <v>0</v>
      </c>
      <c r="CS5" s="27">
        <v>0</v>
      </c>
      <c r="CT5" s="27">
        <v>0</v>
      </c>
      <c r="CU5" s="27">
        <v>0</v>
      </c>
      <c r="CV5" s="27">
        <v>0</v>
      </c>
      <c r="CW5" s="27">
        <v>0</v>
      </c>
      <c r="CX5" s="27">
        <v>0</v>
      </c>
    </row>
    <row r="6" spans="1:102" x14ac:dyDescent="0.2">
      <c r="A6" s="1">
        <v>-8900.3256715776115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-1000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29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</row>
    <row r="7" spans="1:102" x14ac:dyDescent="0.2">
      <c r="A7" s="1">
        <v>-9024.1616238917595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  <c r="AA7" s="29">
        <v>0</v>
      </c>
      <c r="AB7" s="1">
        <v>-1000</v>
      </c>
      <c r="AC7" s="29">
        <v>0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29">
        <v>0</v>
      </c>
      <c r="AQ7" s="29">
        <v>0</v>
      </c>
      <c r="AR7" s="29">
        <v>0</v>
      </c>
      <c r="AS7" s="29">
        <v>0</v>
      </c>
      <c r="AT7" s="29">
        <v>0</v>
      </c>
      <c r="AU7" s="29">
        <v>0</v>
      </c>
      <c r="AV7" s="29">
        <v>0</v>
      </c>
      <c r="AW7" s="29">
        <v>0</v>
      </c>
      <c r="AX7" s="29">
        <v>0</v>
      </c>
      <c r="AY7" s="29">
        <v>0</v>
      </c>
      <c r="AZ7" s="29">
        <v>0</v>
      </c>
      <c r="BA7" s="29">
        <v>0</v>
      </c>
      <c r="BB7" s="29">
        <v>0</v>
      </c>
      <c r="BC7" s="29">
        <v>0</v>
      </c>
      <c r="BD7" s="29">
        <v>0</v>
      </c>
      <c r="BE7" s="29">
        <v>0</v>
      </c>
      <c r="BF7" s="29">
        <v>0</v>
      </c>
      <c r="BG7" s="29">
        <v>0</v>
      </c>
      <c r="BH7" s="29">
        <v>0</v>
      </c>
      <c r="BI7" s="29">
        <v>0</v>
      </c>
      <c r="BJ7" s="29">
        <v>0</v>
      </c>
      <c r="BK7" s="29">
        <v>0</v>
      </c>
      <c r="BL7" s="29">
        <v>0</v>
      </c>
      <c r="BM7" s="29">
        <v>0</v>
      </c>
      <c r="BN7" s="29">
        <v>0</v>
      </c>
      <c r="BO7" s="29">
        <v>0</v>
      </c>
      <c r="BP7" s="29">
        <v>0</v>
      </c>
      <c r="BQ7" s="29">
        <v>0</v>
      </c>
      <c r="BR7" s="29">
        <v>0</v>
      </c>
      <c r="BS7" s="29">
        <v>0</v>
      </c>
      <c r="BT7" s="29">
        <v>0</v>
      </c>
      <c r="BU7" s="29">
        <v>0</v>
      </c>
      <c r="BV7" s="29">
        <v>0</v>
      </c>
      <c r="BW7" s="29">
        <v>0</v>
      </c>
      <c r="BX7" s="29">
        <v>0</v>
      </c>
      <c r="BY7" s="29">
        <v>0</v>
      </c>
      <c r="BZ7" s="29">
        <v>0</v>
      </c>
      <c r="CA7" s="29">
        <v>0</v>
      </c>
      <c r="CB7" s="29">
        <v>0</v>
      </c>
      <c r="CC7" s="29">
        <v>0</v>
      </c>
      <c r="CD7" s="29">
        <v>0</v>
      </c>
      <c r="CE7" s="29">
        <v>0</v>
      </c>
      <c r="CF7" s="29">
        <v>0</v>
      </c>
      <c r="CG7" s="29">
        <v>0</v>
      </c>
      <c r="CH7" s="29">
        <v>0</v>
      </c>
      <c r="CI7" s="29">
        <v>0</v>
      </c>
      <c r="CJ7" s="29">
        <v>0</v>
      </c>
      <c r="CK7" s="29">
        <v>0</v>
      </c>
      <c r="CL7" s="29">
        <v>0</v>
      </c>
      <c r="CM7" s="29">
        <v>0</v>
      </c>
      <c r="CN7" s="29">
        <v>0</v>
      </c>
      <c r="CO7" s="29">
        <v>0</v>
      </c>
      <c r="CP7" s="29">
        <v>0</v>
      </c>
      <c r="CQ7" s="29">
        <v>0</v>
      </c>
      <c r="CR7" s="29">
        <v>0</v>
      </c>
      <c r="CS7" s="29">
        <v>0</v>
      </c>
      <c r="CT7" s="29">
        <v>0</v>
      </c>
      <c r="CU7" s="29">
        <v>0</v>
      </c>
      <c r="CV7" s="29">
        <v>0</v>
      </c>
      <c r="CW7" s="29">
        <v>0</v>
      </c>
      <c r="CX7" s="29">
        <v>0</v>
      </c>
    </row>
    <row r="8" spans="1:102" x14ac:dyDescent="0.2">
      <c r="A8" s="1">
        <v>-9147.7147334934289</v>
      </c>
      <c r="B8" s="27">
        <v>0</v>
      </c>
      <c r="C8" s="27">
        <v>0</v>
      </c>
      <c r="D8" s="27">
        <v>0</v>
      </c>
      <c r="E8" s="27">
        <v>0</v>
      </c>
      <c r="F8" s="27">
        <v>0</v>
      </c>
      <c r="G8" s="27">
        <v>0</v>
      </c>
      <c r="H8" s="27">
        <v>0</v>
      </c>
      <c r="I8" s="27">
        <v>0</v>
      </c>
      <c r="J8" s="27">
        <v>0</v>
      </c>
      <c r="K8" s="27">
        <v>0</v>
      </c>
      <c r="L8" s="27">
        <v>0</v>
      </c>
      <c r="M8" s="27">
        <v>0</v>
      </c>
      <c r="N8" s="27">
        <v>0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1">
        <v>-1000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9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>
        <v>0</v>
      </c>
      <c r="AX8" s="27">
        <v>0</v>
      </c>
      <c r="AY8" s="27">
        <v>0</v>
      </c>
      <c r="AZ8" s="27">
        <v>0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7">
        <v>0</v>
      </c>
      <c r="BQ8" s="27">
        <v>0</v>
      </c>
      <c r="BR8" s="27">
        <v>0</v>
      </c>
      <c r="BS8" s="27">
        <v>0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</row>
    <row r="9" spans="1:102" x14ac:dyDescent="0.2">
      <c r="A9" s="1">
        <v>-9271.6092644513374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-1000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29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</row>
    <row r="10" spans="1:102" x14ac:dyDescent="0.2">
      <c r="A10" s="1">
        <v>-9395.8694808341952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-1000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29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</row>
    <row r="11" spans="1:102" x14ac:dyDescent="0.2">
      <c r="A11" s="1">
        <v>-9520.105433148341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>
        <v>0</v>
      </c>
      <c r="AA11" s="29">
        <v>0</v>
      </c>
      <c r="AB11" s="1">
        <v>-1000</v>
      </c>
      <c r="AC11" s="29">
        <v>0</v>
      </c>
      <c r="AD11" s="29">
        <v>0</v>
      </c>
      <c r="AE11" s="29">
        <v>0</v>
      </c>
      <c r="AF11" s="29">
        <v>0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29">
        <v>0</v>
      </c>
      <c r="AQ11" s="29">
        <v>0</v>
      </c>
      <c r="AR11" s="29">
        <v>0</v>
      </c>
      <c r="AS11" s="29">
        <v>0</v>
      </c>
      <c r="AT11" s="29">
        <v>0</v>
      </c>
      <c r="AU11" s="29">
        <v>0</v>
      </c>
      <c r="AV11" s="29">
        <v>0</v>
      </c>
      <c r="AW11" s="29">
        <v>0</v>
      </c>
      <c r="AX11" s="29">
        <v>0</v>
      </c>
      <c r="AY11" s="29">
        <v>0</v>
      </c>
      <c r="AZ11" s="29">
        <v>0</v>
      </c>
      <c r="BA11" s="29">
        <v>0</v>
      </c>
      <c r="BB11" s="29">
        <v>0</v>
      </c>
      <c r="BC11" s="29">
        <v>0</v>
      </c>
      <c r="BD11" s="29">
        <v>0</v>
      </c>
      <c r="BE11" s="29">
        <v>0</v>
      </c>
      <c r="BF11" s="29">
        <v>0</v>
      </c>
      <c r="BG11" s="29">
        <v>0</v>
      </c>
      <c r="BH11" s="29">
        <v>0</v>
      </c>
      <c r="BI11" s="29">
        <v>0</v>
      </c>
      <c r="BJ11" s="29">
        <v>0</v>
      </c>
      <c r="BK11" s="29">
        <v>0</v>
      </c>
      <c r="BL11" s="29">
        <v>0</v>
      </c>
      <c r="BM11" s="29">
        <v>0</v>
      </c>
      <c r="BN11" s="29">
        <v>0</v>
      </c>
      <c r="BO11" s="29">
        <v>0</v>
      </c>
      <c r="BP11" s="29">
        <v>0</v>
      </c>
      <c r="BQ11" s="29">
        <v>0</v>
      </c>
      <c r="BR11" s="29">
        <v>0</v>
      </c>
      <c r="BS11" s="29">
        <v>0</v>
      </c>
      <c r="BT11" s="29">
        <v>0</v>
      </c>
      <c r="BU11" s="29">
        <v>0</v>
      </c>
      <c r="BV11" s="29">
        <v>0</v>
      </c>
      <c r="BW11" s="29">
        <v>0</v>
      </c>
      <c r="BX11" s="29">
        <v>0</v>
      </c>
      <c r="BY11" s="29">
        <v>0</v>
      </c>
      <c r="BZ11" s="29">
        <v>0</v>
      </c>
      <c r="CA11" s="29">
        <v>0</v>
      </c>
      <c r="CB11" s="29">
        <v>0</v>
      </c>
      <c r="CC11" s="29">
        <v>0</v>
      </c>
      <c r="CD11" s="29">
        <v>0</v>
      </c>
      <c r="CE11" s="29">
        <v>0</v>
      </c>
      <c r="CF11" s="29">
        <v>0</v>
      </c>
      <c r="CG11" s="29">
        <v>0</v>
      </c>
      <c r="CH11" s="29">
        <v>0</v>
      </c>
      <c r="CI11" s="29">
        <v>0</v>
      </c>
      <c r="CJ11" s="29">
        <v>0</v>
      </c>
      <c r="CK11" s="29">
        <v>0</v>
      </c>
      <c r="CL11" s="29">
        <v>0</v>
      </c>
      <c r="CM11" s="29">
        <v>0</v>
      </c>
      <c r="CN11" s="29">
        <v>0</v>
      </c>
      <c r="CO11" s="29">
        <v>0</v>
      </c>
      <c r="CP11" s="29">
        <v>0</v>
      </c>
      <c r="CQ11" s="29">
        <v>0</v>
      </c>
      <c r="CR11" s="29">
        <v>0</v>
      </c>
      <c r="CS11" s="29">
        <v>0</v>
      </c>
      <c r="CT11" s="29">
        <v>0</v>
      </c>
      <c r="CU11" s="29">
        <v>0</v>
      </c>
      <c r="CV11" s="29">
        <v>0</v>
      </c>
      <c r="CW11" s="29">
        <v>0</v>
      </c>
      <c r="CX11" s="29">
        <v>0</v>
      </c>
    </row>
    <row r="12" spans="1:102" x14ac:dyDescent="0.2">
      <c r="A12" s="1">
        <v>-9644.5413854624821</v>
      </c>
      <c r="B12" s="27">
        <v>0</v>
      </c>
      <c r="C12" s="27">
        <v>0</v>
      </c>
      <c r="D12" s="27">
        <v>0</v>
      </c>
      <c r="E12" s="27">
        <v>0</v>
      </c>
      <c r="F12" s="27">
        <v>0</v>
      </c>
      <c r="G12" s="27">
        <v>0</v>
      </c>
      <c r="H12" s="27">
        <v>0</v>
      </c>
      <c r="I12" s="27">
        <v>0</v>
      </c>
      <c r="J12" s="27">
        <v>0</v>
      </c>
      <c r="K12" s="27">
        <v>0</v>
      </c>
      <c r="L12" s="27">
        <v>0</v>
      </c>
      <c r="M12" s="27">
        <v>0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1">
        <v>-1000</v>
      </c>
      <c r="AB12" s="1">
        <v>-1000</v>
      </c>
      <c r="AC12" s="27">
        <v>0</v>
      </c>
      <c r="AD12" s="27">
        <v>0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7">
        <v>0</v>
      </c>
      <c r="AK12" s="27">
        <v>0</v>
      </c>
      <c r="AL12" s="27">
        <v>0</v>
      </c>
      <c r="AM12" s="29">
        <v>0</v>
      </c>
      <c r="AN12" s="27">
        <v>0</v>
      </c>
      <c r="AO12" s="27">
        <v>0</v>
      </c>
      <c r="AP12" s="27">
        <v>0</v>
      </c>
      <c r="AQ12" s="27">
        <v>0</v>
      </c>
      <c r="AR12" s="27">
        <v>0</v>
      </c>
      <c r="AS12" s="27">
        <v>0</v>
      </c>
      <c r="AT12" s="27">
        <v>0</v>
      </c>
      <c r="AU12" s="27">
        <v>0</v>
      </c>
      <c r="AV12" s="27">
        <v>0</v>
      </c>
      <c r="AW12" s="27">
        <v>0</v>
      </c>
      <c r="AX12" s="27">
        <v>0</v>
      </c>
      <c r="AY12" s="27">
        <v>0</v>
      </c>
      <c r="AZ12" s="27">
        <v>0</v>
      </c>
      <c r="BA12" s="27">
        <v>0</v>
      </c>
      <c r="BB12" s="27">
        <v>0</v>
      </c>
      <c r="BC12" s="27">
        <v>0</v>
      </c>
      <c r="BD12" s="27">
        <v>0</v>
      </c>
      <c r="BE12" s="27">
        <v>0</v>
      </c>
      <c r="BF12" s="27">
        <v>0</v>
      </c>
      <c r="BG12" s="27">
        <v>0</v>
      </c>
      <c r="BH12" s="27">
        <v>0</v>
      </c>
      <c r="BI12" s="27">
        <v>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7">
        <v>0</v>
      </c>
      <c r="BQ12" s="27">
        <v>0</v>
      </c>
      <c r="BR12" s="27">
        <v>0</v>
      </c>
      <c r="BS12" s="27">
        <v>0</v>
      </c>
      <c r="BT12" s="27">
        <v>0</v>
      </c>
      <c r="BU12" s="27">
        <v>0</v>
      </c>
      <c r="BV12" s="27">
        <v>0</v>
      </c>
      <c r="BW12" s="27">
        <v>0</v>
      </c>
      <c r="BX12" s="27">
        <v>0</v>
      </c>
      <c r="BY12" s="27">
        <v>0</v>
      </c>
      <c r="BZ12" s="27">
        <v>0</v>
      </c>
      <c r="CA12" s="27">
        <v>0</v>
      </c>
      <c r="CB12" s="27">
        <v>0</v>
      </c>
      <c r="CC12" s="27">
        <v>0</v>
      </c>
      <c r="CD12" s="27">
        <v>0</v>
      </c>
      <c r="CE12" s="27">
        <v>0</v>
      </c>
      <c r="CF12" s="27">
        <v>0</v>
      </c>
      <c r="CG12" s="27">
        <v>0</v>
      </c>
      <c r="CH12" s="27">
        <v>0</v>
      </c>
      <c r="CI12" s="27">
        <v>0</v>
      </c>
      <c r="CJ12" s="27">
        <v>0</v>
      </c>
      <c r="CK12" s="27">
        <v>0</v>
      </c>
      <c r="CL12" s="27">
        <v>0</v>
      </c>
      <c r="CM12" s="27">
        <v>0</v>
      </c>
      <c r="CN12" s="27">
        <v>0</v>
      </c>
      <c r="CO12" s="27">
        <v>0</v>
      </c>
      <c r="CP12" s="27">
        <v>0</v>
      </c>
      <c r="CQ12" s="27">
        <v>0</v>
      </c>
      <c r="CR12" s="27">
        <v>0</v>
      </c>
      <c r="CS12" s="27">
        <v>0</v>
      </c>
      <c r="CT12" s="27">
        <v>0</v>
      </c>
      <c r="CU12" s="27">
        <v>0</v>
      </c>
      <c r="CV12" s="27">
        <v>0</v>
      </c>
      <c r="CW12" s="27">
        <v>0</v>
      </c>
      <c r="CX12" s="27">
        <v>0</v>
      </c>
    </row>
    <row r="13" spans="1:102" x14ac:dyDescent="0.2">
      <c r="A13" s="1">
        <v>-9768.6844445578154</v>
      </c>
      <c r="B13" s="1">
        <v>0</v>
      </c>
      <c r="C13" s="1">
        <v>0</v>
      </c>
      <c r="D13" s="1">
        <v>0</v>
      </c>
      <c r="E13" s="1">
        <v>-1000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-1000</v>
      </c>
      <c r="AA13" s="1">
        <v>-1000</v>
      </c>
      <c r="AB13" s="27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29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</row>
    <row r="14" spans="1:102" x14ac:dyDescent="0.2">
      <c r="A14" s="1">
        <v>-9876.5132900907738</v>
      </c>
      <c r="B14" s="1">
        <v>0</v>
      </c>
      <c r="C14" s="1">
        <v>0</v>
      </c>
      <c r="D14" s="1">
        <v>0</v>
      </c>
      <c r="E14" s="1">
        <v>-1000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-1000</v>
      </c>
      <c r="Z14" s="1">
        <v>-1000</v>
      </c>
      <c r="AA14" s="27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29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</row>
    <row r="15" spans="1:102" x14ac:dyDescent="0.2">
      <c r="A15" s="1">
        <v>-9946.563246763184</v>
      </c>
      <c r="B15" s="1">
        <v>0</v>
      </c>
      <c r="C15" s="1">
        <v>0</v>
      </c>
      <c r="D15" s="1">
        <v>0</v>
      </c>
      <c r="E15" s="1">
        <v>-1000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-1000</v>
      </c>
      <c r="Y15" s="1">
        <v>-1000</v>
      </c>
      <c r="Z15" s="27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29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</row>
    <row r="16" spans="1:102" x14ac:dyDescent="0.2">
      <c r="A16" s="1">
        <v>-9974.5999999999985</v>
      </c>
      <c r="B16" s="29">
        <v>0</v>
      </c>
      <c r="C16" s="29">
        <v>0</v>
      </c>
      <c r="D16" s="29">
        <v>0</v>
      </c>
      <c r="E16" s="1">
        <v>-1000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1">
        <v>-1000</v>
      </c>
      <c r="X16" s="1">
        <v>-1000</v>
      </c>
      <c r="Y16" s="27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U16" s="29">
        <v>0</v>
      </c>
      <c r="AV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  <c r="BC16" s="29">
        <v>0</v>
      </c>
      <c r="BD16" s="29">
        <v>0</v>
      </c>
      <c r="BE16" s="29">
        <v>0</v>
      </c>
      <c r="BF16" s="29">
        <v>0</v>
      </c>
      <c r="BG16" s="29">
        <v>0</v>
      </c>
      <c r="BH16" s="29">
        <v>0</v>
      </c>
      <c r="BI16" s="29">
        <v>0</v>
      </c>
      <c r="BJ16" s="29">
        <v>0</v>
      </c>
      <c r="BK16" s="29">
        <v>0</v>
      </c>
      <c r="BL16" s="29">
        <v>0</v>
      </c>
      <c r="BM16" s="29">
        <v>0</v>
      </c>
      <c r="BN16" s="29">
        <v>0</v>
      </c>
      <c r="BO16" s="29">
        <v>0</v>
      </c>
      <c r="BP16" s="29">
        <v>0</v>
      </c>
      <c r="BQ16" s="29">
        <v>0</v>
      </c>
      <c r="BR16" s="29">
        <v>0</v>
      </c>
      <c r="BS16" s="29">
        <v>0</v>
      </c>
      <c r="BT16" s="29">
        <v>0</v>
      </c>
      <c r="BU16" s="29">
        <v>0</v>
      </c>
      <c r="BV16" s="29">
        <v>0</v>
      </c>
      <c r="BW16" s="29">
        <v>0</v>
      </c>
      <c r="BX16" s="29">
        <v>0</v>
      </c>
      <c r="BY16" s="29">
        <v>0</v>
      </c>
      <c r="BZ16" s="29">
        <v>0</v>
      </c>
      <c r="CA16" s="29">
        <v>0</v>
      </c>
      <c r="CB16" s="29">
        <v>0</v>
      </c>
      <c r="CC16" s="29">
        <v>0</v>
      </c>
      <c r="CD16" s="29">
        <v>0</v>
      </c>
      <c r="CE16" s="29">
        <v>0</v>
      </c>
      <c r="CF16" s="29">
        <v>0</v>
      </c>
      <c r="CG16" s="29">
        <v>0</v>
      </c>
      <c r="CH16" s="29">
        <v>0</v>
      </c>
      <c r="CI16" s="29">
        <v>0</v>
      </c>
      <c r="CJ16" s="29">
        <v>0</v>
      </c>
      <c r="CK16" s="29">
        <v>0</v>
      </c>
      <c r="CL16" s="29">
        <v>0</v>
      </c>
      <c r="CM16" s="29">
        <v>0</v>
      </c>
      <c r="CN16" s="29">
        <v>0</v>
      </c>
      <c r="CO16" s="29">
        <v>0</v>
      </c>
      <c r="CP16" s="29">
        <v>0</v>
      </c>
      <c r="CQ16" s="29">
        <v>0</v>
      </c>
      <c r="CR16" s="29">
        <v>0</v>
      </c>
      <c r="CS16" s="29">
        <v>0</v>
      </c>
      <c r="CT16" s="29">
        <v>0</v>
      </c>
      <c r="CU16" s="29">
        <v>0</v>
      </c>
      <c r="CV16" s="29">
        <v>0</v>
      </c>
      <c r="CW16" s="29">
        <v>0</v>
      </c>
      <c r="CX16" s="29">
        <v>0</v>
      </c>
    </row>
    <row r="17" spans="1:102" x14ac:dyDescent="0.2">
      <c r="A17" s="1">
        <v>-9980</v>
      </c>
      <c r="B17" s="1">
        <v>0</v>
      </c>
      <c r="C17" s="1">
        <v>0</v>
      </c>
      <c r="D17" s="1">
        <v>0</v>
      </c>
      <c r="E17" s="1">
        <v>-1000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-1000</v>
      </c>
      <c r="W17" s="1">
        <v>-1000</v>
      </c>
      <c r="X17" s="1">
        <v>100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</row>
    <row r="18" spans="1:102" x14ac:dyDescent="0.2">
      <c r="A18" s="1">
        <v>-9980</v>
      </c>
      <c r="B18" s="27">
        <v>0</v>
      </c>
      <c r="C18" s="27">
        <v>0</v>
      </c>
      <c r="D18" s="27">
        <v>0</v>
      </c>
      <c r="E18" s="1">
        <v>-1000</v>
      </c>
      <c r="F18" s="27">
        <v>0</v>
      </c>
      <c r="G18" s="27">
        <v>0</v>
      </c>
      <c r="H18" s="27">
        <v>0</v>
      </c>
      <c r="I18" s="27">
        <v>0</v>
      </c>
      <c r="J18" s="27">
        <v>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-974.21055556972715</v>
      </c>
      <c r="T18" s="27">
        <v>0</v>
      </c>
      <c r="U18" s="1">
        <v>-1000</v>
      </c>
      <c r="V18" s="1">
        <v>-1000</v>
      </c>
      <c r="W18" s="27">
        <v>100</v>
      </c>
      <c r="X18" s="27">
        <v>100</v>
      </c>
      <c r="Y18" s="27">
        <v>100</v>
      </c>
      <c r="Z18" s="27">
        <v>0</v>
      </c>
      <c r="AA18" s="27">
        <v>0</v>
      </c>
      <c r="AB18" s="27">
        <v>0</v>
      </c>
      <c r="AC18" s="27">
        <v>0</v>
      </c>
      <c r="AD18" s="27">
        <v>0</v>
      </c>
      <c r="AE18" s="27">
        <v>0</v>
      </c>
      <c r="AF18" s="27">
        <v>0</v>
      </c>
      <c r="AG18" s="27">
        <v>0</v>
      </c>
      <c r="AH18" s="27">
        <v>0</v>
      </c>
      <c r="AI18" s="27">
        <v>0</v>
      </c>
      <c r="AJ18" s="27">
        <v>0</v>
      </c>
      <c r="AK18" s="27">
        <v>0</v>
      </c>
      <c r="AL18" s="27">
        <v>0</v>
      </c>
      <c r="AM18" s="27">
        <v>0</v>
      </c>
      <c r="AN18" s="27">
        <v>0</v>
      </c>
      <c r="AO18" s="27">
        <v>0</v>
      </c>
      <c r="AP18" s="27">
        <v>0</v>
      </c>
      <c r="AQ18" s="27">
        <v>0</v>
      </c>
      <c r="AR18" s="27">
        <v>0</v>
      </c>
      <c r="AS18" s="27">
        <v>0</v>
      </c>
      <c r="AT18" s="27">
        <v>0</v>
      </c>
      <c r="AU18" s="27">
        <v>0</v>
      </c>
      <c r="AV18" s="27">
        <v>0</v>
      </c>
      <c r="AW18" s="27">
        <v>0</v>
      </c>
      <c r="AX18" s="27">
        <v>0</v>
      </c>
      <c r="AY18" s="27">
        <v>0</v>
      </c>
      <c r="AZ18" s="27">
        <v>0</v>
      </c>
      <c r="BA18" s="27">
        <v>0</v>
      </c>
      <c r="BB18" s="27">
        <v>0</v>
      </c>
      <c r="BC18" s="27">
        <v>0</v>
      </c>
      <c r="BD18" s="27">
        <v>0</v>
      </c>
      <c r="BE18" s="27">
        <v>0</v>
      </c>
      <c r="BF18" s="27">
        <v>0</v>
      </c>
      <c r="BG18" s="27">
        <v>0</v>
      </c>
      <c r="BH18" s="27">
        <v>0</v>
      </c>
      <c r="BI18" s="27">
        <v>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7">
        <v>0</v>
      </c>
      <c r="BQ18" s="27">
        <v>0</v>
      </c>
      <c r="BR18" s="27">
        <v>0</v>
      </c>
      <c r="BS18" s="27">
        <v>0</v>
      </c>
      <c r="BT18" s="27">
        <v>0</v>
      </c>
      <c r="BU18" s="27">
        <v>0</v>
      </c>
      <c r="BV18" s="27">
        <v>0</v>
      </c>
      <c r="BW18" s="27">
        <v>0</v>
      </c>
      <c r="BX18" s="27">
        <v>0</v>
      </c>
      <c r="BY18" s="27">
        <v>0</v>
      </c>
      <c r="BZ18" s="27">
        <v>0</v>
      </c>
      <c r="CA18" s="27">
        <v>0</v>
      </c>
      <c r="CB18" s="27">
        <v>0</v>
      </c>
      <c r="CC18" s="27">
        <v>0</v>
      </c>
      <c r="CD18" s="27">
        <v>0</v>
      </c>
      <c r="CE18" s="27">
        <v>0</v>
      </c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27">
        <v>0</v>
      </c>
      <c r="CO18" s="27">
        <v>0</v>
      </c>
      <c r="CP18" s="27">
        <v>0</v>
      </c>
      <c r="CQ18" s="27">
        <v>0</v>
      </c>
      <c r="CR18" s="27">
        <v>0</v>
      </c>
      <c r="CS18" s="27">
        <v>0</v>
      </c>
      <c r="CT18" s="27">
        <v>0</v>
      </c>
      <c r="CU18" s="27">
        <v>0</v>
      </c>
      <c r="CV18" s="27">
        <v>0</v>
      </c>
      <c r="CW18" s="27">
        <v>0</v>
      </c>
      <c r="CX18" s="27">
        <v>0</v>
      </c>
    </row>
    <row r="19" spans="1:102" x14ac:dyDescent="0.2">
      <c r="A19" s="1">
        <v>-9980</v>
      </c>
      <c r="B19" s="27">
        <v>0</v>
      </c>
      <c r="C19" s="27">
        <v>0</v>
      </c>
      <c r="D19" s="27">
        <v>0</v>
      </c>
      <c r="E19" s="1">
        <v>-1000</v>
      </c>
      <c r="F19" s="27">
        <v>0</v>
      </c>
      <c r="G19" s="27">
        <v>0</v>
      </c>
      <c r="H19" s="27">
        <v>0</v>
      </c>
      <c r="I19" s="27">
        <v>0</v>
      </c>
      <c r="J19" s="27">
        <v>0</v>
      </c>
      <c r="K19" s="27">
        <v>0</v>
      </c>
      <c r="L19" s="27">
        <v>0</v>
      </c>
      <c r="M19" s="27">
        <v>0</v>
      </c>
      <c r="N19" s="27">
        <v>0</v>
      </c>
      <c r="O19" s="27">
        <v>0</v>
      </c>
      <c r="P19" s="27">
        <v>0</v>
      </c>
      <c r="Q19" s="1">
        <v>0</v>
      </c>
      <c r="R19" s="1">
        <v>0</v>
      </c>
      <c r="S19" s="27">
        <v>-974.21055556972715</v>
      </c>
      <c r="T19" s="1">
        <v>-1000</v>
      </c>
      <c r="U19" s="1">
        <v>-1000</v>
      </c>
      <c r="V19" s="1">
        <v>100</v>
      </c>
      <c r="W19" s="1">
        <v>100</v>
      </c>
      <c r="X19" s="1">
        <v>100</v>
      </c>
      <c r="Y19" s="1">
        <v>100</v>
      </c>
      <c r="Z19" s="1">
        <v>100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27">
        <v>0</v>
      </c>
      <c r="AQ19" s="27">
        <v>0</v>
      </c>
      <c r="AR19" s="27">
        <v>0</v>
      </c>
      <c r="AS19" s="27">
        <v>0</v>
      </c>
      <c r="AT19" s="27">
        <v>0</v>
      </c>
      <c r="AU19" s="27">
        <v>0</v>
      </c>
      <c r="AV19" s="27">
        <v>0</v>
      </c>
      <c r="AW19" s="27">
        <v>0</v>
      </c>
      <c r="AX19" s="27">
        <v>0</v>
      </c>
      <c r="AY19" s="27">
        <v>0</v>
      </c>
      <c r="AZ19" s="27">
        <v>0</v>
      </c>
      <c r="BA19" s="27">
        <v>0</v>
      </c>
      <c r="BB19" s="27">
        <v>0</v>
      </c>
      <c r="BC19" s="27">
        <v>0</v>
      </c>
      <c r="BD19" s="27">
        <v>0</v>
      </c>
      <c r="BE19" s="27">
        <v>0</v>
      </c>
      <c r="BF19" s="27">
        <v>0</v>
      </c>
      <c r="BG19" s="27">
        <v>0</v>
      </c>
      <c r="BH19" s="27">
        <v>0</v>
      </c>
      <c r="BI19" s="27">
        <v>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7">
        <v>0</v>
      </c>
      <c r="BQ19" s="27">
        <v>0</v>
      </c>
      <c r="BR19" s="27">
        <v>0</v>
      </c>
      <c r="BS19" s="27">
        <v>0</v>
      </c>
      <c r="BT19" s="27">
        <v>0</v>
      </c>
      <c r="BU19" s="27">
        <v>0</v>
      </c>
      <c r="BV19" s="27">
        <v>0</v>
      </c>
      <c r="BW19" s="27">
        <v>0</v>
      </c>
      <c r="BX19" s="27">
        <v>0</v>
      </c>
      <c r="BY19" s="27">
        <v>0</v>
      </c>
      <c r="BZ19" s="27">
        <v>0</v>
      </c>
      <c r="CA19" s="27">
        <v>0</v>
      </c>
      <c r="CB19" s="27">
        <v>0</v>
      </c>
      <c r="CC19" s="27">
        <v>0</v>
      </c>
      <c r="CD19" s="27">
        <v>0</v>
      </c>
      <c r="CE19" s="27">
        <v>0</v>
      </c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0</v>
      </c>
      <c r="CL19" s="27">
        <v>0</v>
      </c>
      <c r="CM19" s="27">
        <v>0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27">
        <v>0</v>
      </c>
      <c r="CW19" s="27">
        <v>0</v>
      </c>
      <c r="CX19" s="27">
        <v>0</v>
      </c>
    </row>
    <row r="20" spans="1:102" x14ac:dyDescent="0.2">
      <c r="A20" s="1">
        <v>-9980</v>
      </c>
      <c r="B20" s="27">
        <v>0</v>
      </c>
      <c r="C20" s="27">
        <v>0</v>
      </c>
      <c r="D20" s="27">
        <v>0</v>
      </c>
      <c r="E20" s="1">
        <v>-1000</v>
      </c>
      <c r="F20" s="27">
        <v>0</v>
      </c>
      <c r="G20" s="27">
        <v>0</v>
      </c>
      <c r="H20" s="27">
        <v>0</v>
      </c>
      <c r="I20" s="27">
        <v>0</v>
      </c>
      <c r="J20" s="27">
        <v>0</v>
      </c>
      <c r="K20" s="27">
        <v>0</v>
      </c>
      <c r="L20" s="27">
        <v>0</v>
      </c>
      <c r="M20" s="27">
        <v>0</v>
      </c>
      <c r="N20" s="27">
        <v>0</v>
      </c>
      <c r="O20" s="27">
        <v>0</v>
      </c>
      <c r="P20" s="27">
        <v>0</v>
      </c>
      <c r="Q20" s="27">
        <v>0</v>
      </c>
      <c r="R20" s="27">
        <v>0</v>
      </c>
      <c r="S20" s="1">
        <v>-1000</v>
      </c>
      <c r="T20" s="1">
        <v>-1000</v>
      </c>
      <c r="U20" s="27">
        <v>100</v>
      </c>
      <c r="V20" s="27">
        <v>100</v>
      </c>
      <c r="W20" s="27">
        <v>100</v>
      </c>
      <c r="X20" s="27">
        <v>100</v>
      </c>
      <c r="Y20" s="27">
        <v>100</v>
      </c>
      <c r="Z20" s="27">
        <v>100</v>
      </c>
      <c r="AA20" s="27">
        <v>100</v>
      </c>
      <c r="AB20" s="27">
        <v>0</v>
      </c>
      <c r="AC20" s="27">
        <v>0</v>
      </c>
      <c r="AD20" s="27">
        <v>0</v>
      </c>
      <c r="AE20" s="27">
        <v>0</v>
      </c>
      <c r="AF20" s="27">
        <v>0</v>
      </c>
      <c r="AG20" s="27">
        <v>0</v>
      </c>
      <c r="AH20" s="27">
        <v>0</v>
      </c>
      <c r="AI20" s="27">
        <v>0</v>
      </c>
      <c r="AJ20" s="27">
        <v>0</v>
      </c>
      <c r="AK20" s="27">
        <v>0</v>
      </c>
      <c r="AL20" s="27">
        <v>0</v>
      </c>
      <c r="AM20" s="27">
        <v>0</v>
      </c>
      <c r="AN20" s="27">
        <v>0</v>
      </c>
      <c r="AO20" s="27">
        <v>0</v>
      </c>
      <c r="AP20" s="27">
        <v>0</v>
      </c>
      <c r="AQ20" s="27">
        <v>0</v>
      </c>
      <c r="AR20" s="27">
        <v>0</v>
      </c>
      <c r="AS20" s="27">
        <v>0</v>
      </c>
      <c r="AT20" s="27">
        <v>0</v>
      </c>
      <c r="AU20" s="27">
        <v>0</v>
      </c>
      <c r="AV20" s="27">
        <v>0</v>
      </c>
      <c r="AW20" s="27">
        <v>0</v>
      </c>
      <c r="AX20" s="27">
        <v>0</v>
      </c>
      <c r="AY20" s="27">
        <v>0</v>
      </c>
      <c r="AZ20" s="27">
        <v>0</v>
      </c>
      <c r="BA20" s="27">
        <v>0</v>
      </c>
      <c r="BB20" s="27">
        <v>0</v>
      </c>
      <c r="BC20" s="27">
        <v>0</v>
      </c>
      <c r="BD20" s="27">
        <v>0</v>
      </c>
      <c r="BE20" s="27">
        <v>0</v>
      </c>
      <c r="BF20" s="27">
        <v>0</v>
      </c>
      <c r="BG20" s="27">
        <v>0</v>
      </c>
      <c r="BH20" s="27">
        <v>0</v>
      </c>
      <c r="BI20" s="27">
        <v>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7">
        <v>0</v>
      </c>
      <c r="BQ20" s="27">
        <v>0</v>
      </c>
      <c r="BR20" s="27">
        <v>0</v>
      </c>
      <c r="BS20" s="27">
        <v>0</v>
      </c>
      <c r="BT20" s="27">
        <v>0</v>
      </c>
      <c r="BU20" s="27">
        <v>0</v>
      </c>
      <c r="BV20" s="27">
        <v>0</v>
      </c>
      <c r="BW20" s="27">
        <v>0</v>
      </c>
      <c r="BX20" s="27">
        <v>0</v>
      </c>
      <c r="BY20" s="27">
        <v>0</v>
      </c>
      <c r="BZ20" s="27">
        <v>0</v>
      </c>
      <c r="CA20" s="27">
        <v>0</v>
      </c>
      <c r="CB20" s="27">
        <v>0</v>
      </c>
      <c r="CC20" s="27">
        <v>0</v>
      </c>
      <c r="CD20" s="27">
        <v>0</v>
      </c>
      <c r="CE20" s="27">
        <v>0</v>
      </c>
      <c r="CF20" s="27">
        <v>0</v>
      </c>
      <c r="CG20" s="27">
        <v>0</v>
      </c>
      <c r="CH20" s="27">
        <v>0</v>
      </c>
      <c r="CI20" s="27">
        <v>0</v>
      </c>
      <c r="CJ20" s="27">
        <v>0</v>
      </c>
      <c r="CK20" s="27">
        <v>0</v>
      </c>
      <c r="CL20" s="27">
        <v>0</v>
      </c>
      <c r="CM20" s="27">
        <v>0</v>
      </c>
      <c r="CN20" s="27">
        <v>0</v>
      </c>
      <c r="CO20" s="27">
        <v>0</v>
      </c>
      <c r="CP20" s="27">
        <v>0</v>
      </c>
      <c r="CQ20" s="27">
        <v>0</v>
      </c>
      <c r="CR20" s="27">
        <v>0</v>
      </c>
      <c r="CS20" s="27">
        <v>0</v>
      </c>
      <c r="CT20" s="27">
        <v>0</v>
      </c>
      <c r="CU20" s="27">
        <v>0</v>
      </c>
      <c r="CV20" s="27">
        <v>0</v>
      </c>
      <c r="CW20" s="27">
        <v>0</v>
      </c>
      <c r="CX20" s="27">
        <v>0</v>
      </c>
    </row>
    <row r="21" spans="1:102" x14ac:dyDescent="0.2">
      <c r="A21" s="1">
        <v>-9980</v>
      </c>
      <c r="B21" s="27">
        <v>0</v>
      </c>
      <c r="C21" s="27">
        <v>0</v>
      </c>
      <c r="D21" s="27">
        <v>0</v>
      </c>
      <c r="E21" s="1">
        <v>-1000</v>
      </c>
      <c r="F21" s="27">
        <v>0</v>
      </c>
      <c r="G21" s="27">
        <v>0</v>
      </c>
      <c r="H21" s="27">
        <v>0</v>
      </c>
      <c r="I21" s="27">
        <v>0</v>
      </c>
      <c r="J21" s="27">
        <v>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1">
        <v>0</v>
      </c>
      <c r="R21" s="1">
        <v>-1000</v>
      </c>
      <c r="S21" s="27">
        <v>-974.21055556972715</v>
      </c>
      <c r="T21" s="27">
        <v>100</v>
      </c>
      <c r="U21" s="1">
        <v>100</v>
      </c>
      <c r="V21" s="1">
        <v>100</v>
      </c>
      <c r="W21" s="1">
        <v>100</v>
      </c>
      <c r="X21" s="1">
        <v>100</v>
      </c>
      <c r="Y21" s="1">
        <v>100</v>
      </c>
      <c r="Z21" s="1">
        <v>100</v>
      </c>
      <c r="AA21" s="1">
        <v>100</v>
      </c>
      <c r="AB21" s="1">
        <v>100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27">
        <v>0</v>
      </c>
      <c r="AQ21" s="27">
        <v>0</v>
      </c>
      <c r="AR21" s="27">
        <v>0</v>
      </c>
      <c r="AS21" s="27">
        <v>0</v>
      </c>
      <c r="AT21" s="27">
        <v>0</v>
      </c>
      <c r="AU21" s="27">
        <v>0</v>
      </c>
      <c r="AV21" s="27">
        <v>0</v>
      </c>
      <c r="AW21" s="27">
        <v>0</v>
      </c>
      <c r="AX21" s="27">
        <v>0</v>
      </c>
      <c r="AY21" s="27">
        <v>0</v>
      </c>
      <c r="AZ21" s="27">
        <v>0</v>
      </c>
      <c r="BA21" s="27">
        <v>0</v>
      </c>
      <c r="BB21" s="27">
        <v>0</v>
      </c>
      <c r="BC21" s="27">
        <v>0</v>
      </c>
      <c r="BD21" s="27">
        <v>0</v>
      </c>
      <c r="BE21" s="27">
        <v>0</v>
      </c>
      <c r="BF21" s="27">
        <v>0</v>
      </c>
      <c r="BG21" s="27">
        <v>0</v>
      </c>
      <c r="BH21" s="27">
        <v>0</v>
      </c>
      <c r="BI21" s="27">
        <v>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7">
        <v>0</v>
      </c>
      <c r="BQ21" s="27">
        <v>0</v>
      </c>
      <c r="BR21" s="27">
        <v>0</v>
      </c>
      <c r="BS21" s="27">
        <v>0</v>
      </c>
      <c r="BT21" s="27">
        <v>0</v>
      </c>
      <c r="BU21" s="27">
        <v>0</v>
      </c>
      <c r="BV21" s="27">
        <v>0</v>
      </c>
      <c r="BW21" s="27">
        <v>0</v>
      </c>
      <c r="BX21" s="27">
        <v>0</v>
      </c>
      <c r="BY21" s="27">
        <v>0</v>
      </c>
      <c r="BZ21" s="27">
        <v>0</v>
      </c>
      <c r="CA21" s="27">
        <v>0</v>
      </c>
      <c r="CB21" s="27">
        <v>0</v>
      </c>
      <c r="CC21" s="27">
        <v>0</v>
      </c>
      <c r="CD21" s="27">
        <v>0</v>
      </c>
      <c r="CE21" s="27">
        <v>0</v>
      </c>
      <c r="CF21" s="27">
        <v>0</v>
      </c>
      <c r="CG21" s="27">
        <v>0</v>
      </c>
      <c r="CH21" s="27">
        <v>0</v>
      </c>
      <c r="CI21" s="27">
        <v>0</v>
      </c>
      <c r="CJ21" s="27">
        <v>0</v>
      </c>
      <c r="CK21" s="27">
        <v>0</v>
      </c>
      <c r="CL21" s="27">
        <v>0</v>
      </c>
      <c r="CM21" s="27">
        <v>0</v>
      </c>
      <c r="CN21" s="27">
        <v>0</v>
      </c>
      <c r="CO21" s="27">
        <v>0</v>
      </c>
      <c r="CP21" s="27">
        <v>0</v>
      </c>
      <c r="CQ21" s="27">
        <v>0</v>
      </c>
      <c r="CR21" s="27">
        <v>0</v>
      </c>
      <c r="CS21" s="27">
        <v>0</v>
      </c>
      <c r="CT21" s="27">
        <v>0</v>
      </c>
      <c r="CU21" s="27">
        <v>0</v>
      </c>
      <c r="CV21" s="27">
        <v>0</v>
      </c>
      <c r="CW21" s="27">
        <v>0</v>
      </c>
      <c r="CX21" s="27">
        <v>0</v>
      </c>
    </row>
    <row r="22" spans="1:102" x14ac:dyDescent="0.2">
      <c r="A22" s="1">
        <v>-9980</v>
      </c>
      <c r="B22" s="27">
        <v>0</v>
      </c>
      <c r="C22" s="27">
        <v>0</v>
      </c>
      <c r="D22" s="27">
        <v>0</v>
      </c>
      <c r="E22" s="1">
        <v>-1000</v>
      </c>
      <c r="F22" s="27">
        <v>-1000</v>
      </c>
      <c r="G22" s="27">
        <v>-1000</v>
      </c>
      <c r="H22" s="27">
        <v>-1000</v>
      </c>
      <c r="I22" s="27">
        <v>-1000</v>
      </c>
      <c r="J22" s="27">
        <v>-1000</v>
      </c>
      <c r="K22" s="27">
        <v>-1000</v>
      </c>
      <c r="L22" s="27">
        <v>-1000</v>
      </c>
      <c r="M22" s="27">
        <v>-994</v>
      </c>
      <c r="N22" s="27">
        <v>-983.81471862576132</v>
      </c>
      <c r="O22" s="27">
        <v>-974.21055556972715</v>
      </c>
      <c r="P22" s="27">
        <v>-970.41349929487944</v>
      </c>
      <c r="Q22" s="27">
        <v>-969.04781386993022</v>
      </c>
      <c r="R22" s="27">
        <v>-970.41349929487944</v>
      </c>
      <c r="S22" s="27">
        <v>100</v>
      </c>
      <c r="T22" s="27">
        <v>100</v>
      </c>
      <c r="U22" s="27">
        <v>100</v>
      </c>
      <c r="V22" s="27">
        <v>100</v>
      </c>
      <c r="W22" s="27">
        <v>100</v>
      </c>
      <c r="X22" s="27">
        <v>100</v>
      </c>
      <c r="Y22" s="27">
        <v>100</v>
      </c>
      <c r="Z22" s="27">
        <v>100</v>
      </c>
      <c r="AA22" s="27">
        <v>100</v>
      </c>
      <c r="AB22" s="27">
        <v>100</v>
      </c>
      <c r="AC22" s="27">
        <v>100</v>
      </c>
      <c r="AD22" s="27">
        <v>0</v>
      </c>
      <c r="AE22" s="27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7">
        <v>0</v>
      </c>
      <c r="AL22" s="27">
        <v>0</v>
      </c>
      <c r="AM22" s="27">
        <v>0</v>
      </c>
      <c r="AN22" s="27">
        <v>0</v>
      </c>
      <c r="AO22" s="27">
        <v>0</v>
      </c>
      <c r="AP22" s="27">
        <v>0</v>
      </c>
      <c r="AQ22" s="27">
        <v>0</v>
      </c>
      <c r="AR22" s="27">
        <v>0</v>
      </c>
      <c r="AS22" s="27">
        <v>0</v>
      </c>
      <c r="AT22" s="27">
        <v>0</v>
      </c>
      <c r="AU22" s="27">
        <v>0</v>
      </c>
      <c r="AV22" s="27">
        <v>0</v>
      </c>
      <c r="AW22" s="27">
        <v>0</v>
      </c>
      <c r="AX22" s="27">
        <v>0</v>
      </c>
      <c r="AY22" s="27">
        <v>0</v>
      </c>
      <c r="AZ22" s="27">
        <v>0</v>
      </c>
      <c r="BA22" s="27">
        <v>0</v>
      </c>
      <c r="BB22" s="27">
        <v>0</v>
      </c>
      <c r="BC22" s="27">
        <v>0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7">
        <v>0</v>
      </c>
      <c r="BQ22" s="27">
        <v>0</v>
      </c>
      <c r="BR22" s="27">
        <v>0</v>
      </c>
      <c r="BS22" s="27">
        <v>0</v>
      </c>
      <c r="BT22" s="27">
        <v>0</v>
      </c>
      <c r="BU22" s="27">
        <v>0</v>
      </c>
      <c r="BV22" s="27">
        <v>0</v>
      </c>
      <c r="BW22" s="27">
        <v>0</v>
      </c>
      <c r="BX22" s="27">
        <v>0</v>
      </c>
      <c r="BY22" s="27">
        <v>0</v>
      </c>
      <c r="BZ22" s="27">
        <v>0</v>
      </c>
      <c r="CA22" s="27">
        <v>0</v>
      </c>
      <c r="CB22" s="27">
        <v>0</v>
      </c>
      <c r="CC22" s="27">
        <v>0</v>
      </c>
      <c r="CD22" s="27">
        <v>0</v>
      </c>
      <c r="CE22" s="27">
        <v>0</v>
      </c>
      <c r="CF22" s="27">
        <v>0</v>
      </c>
      <c r="CG22" s="27">
        <v>0</v>
      </c>
      <c r="CH22" s="27">
        <v>0</v>
      </c>
      <c r="CI22" s="27">
        <v>0</v>
      </c>
      <c r="CJ22" s="27">
        <v>0</v>
      </c>
      <c r="CK22" s="27">
        <v>0</v>
      </c>
      <c r="CL22" s="27">
        <v>0</v>
      </c>
      <c r="CM22" s="27">
        <v>0</v>
      </c>
      <c r="CN22" s="27">
        <v>0</v>
      </c>
      <c r="CO22" s="27">
        <v>0</v>
      </c>
      <c r="CP22" s="27">
        <v>0</v>
      </c>
      <c r="CQ22" s="27">
        <v>0</v>
      </c>
      <c r="CR22" s="27">
        <v>0</v>
      </c>
      <c r="CS22" s="27">
        <v>0</v>
      </c>
      <c r="CT22" s="27">
        <v>0</v>
      </c>
      <c r="CU22" s="27">
        <v>0</v>
      </c>
      <c r="CV22" s="27">
        <v>0</v>
      </c>
      <c r="CW22" s="27">
        <v>0</v>
      </c>
      <c r="CX22" s="27">
        <v>0</v>
      </c>
    </row>
    <row r="23" spans="1:102" x14ac:dyDescent="0.2">
      <c r="A23" s="1">
        <v>-9980</v>
      </c>
      <c r="B23" s="27">
        <v>0</v>
      </c>
      <c r="C23" s="27">
        <v>0</v>
      </c>
      <c r="D23" s="27">
        <v>0</v>
      </c>
      <c r="E23" s="1">
        <v>-1000</v>
      </c>
      <c r="F23" s="27">
        <v>100</v>
      </c>
      <c r="G23" s="27">
        <v>100</v>
      </c>
      <c r="H23" s="27">
        <v>100</v>
      </c>
      <c r="I23" s="27">
        <v>100</v>
      </c>
      <c r="J23" s="27">
        <v>100</v>
      </c>
      <c r="K23" s="27">
        <v>100</v>
      </c>
      <c r="L23" s="27">
        <v>100</v>
      </c>
      <c r="M23" s="27">
        <v>100</v>
      </c>
      <c r="N23" s="27">
        <v>100</v>
      </c>
      <c r="O23" s="27">
        <v>100</v>
      </c>
      <c r="P23" s="27">
        <v>100</v>
      </c>
      <c r="Q23" s="27">
        <v>100</v>
      </c>
      <c r="R23" s="27">
        <v>100</v>
      </c>
      <c r="S23" s="27">
        <v>100</v>
      </c>
      <c r="T23" s="27">
        <v>100</v>
      </c>
      <c r="U23" s="1">
        <v>100</v>
      </c>
      <c r="V23" s="1">
        <v>100</v>
      </c>
      <c r="W23" s="1">
        <v>100</v>
      </c>
      <c r="X23" s="1">
        <v>100</v>
      </c>
      <c r="Y23" s="1">
        <v>100</v>
      </c>
      <c r="Z23" s="1">
        <v>100</v>
      </c>
      <c r="AA23" s="1">
        <v>100</v>
      </c>
      <c r="AB23" s="1">
        <v>100</v>
      </c>
      <c r="AC23" s="1">
        <v>100</v>
      </c>
      <c r="AD23" s="1">
        <v>100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27">
        <v>0</v>
      </c>
      <c r="AQ23" s="27">
        <v>0</v>
      </c>
      <c r="AR23" s="27">
        <v>0</v>
      </c>
      <c r="AS23" s="27">
        <v>0</v>
      </c>
      <c r="AT23" s="27">
        <v>0</v>
      </c>
      <c r="AU23" s="27">
        <v>0</v>
      </c>
      <c r="AV23" s="27">
        <v>0</v>
      </c>
      <c r="AW23" s="27">
        <v>0</v>
      </c>
      <c r="AX23" s="27">
        <v>0</v>
      </c>
      <c r="AY23" s="27">
        <v>0</v>
      </c>
      <c r="AZ23" s="27">
        <v>0</v>
      </c>
      <c r="BA23" s="27">
        <v>0</v>
      </c>
      <c r="BB23" s="27">
        <v>0</v>
      </c>
      <c r="BC23" s="27">
        <v>0</v>
      </c>
      <c r="BD23" s="27">
        <v>0</v>
      </c>
      <c r="BE23" s="27">
        <v>0</v>
      </c>
      <c r="BF23" s="27">
        <v>0</v>
      </c>
      <c r="BG23" s="27">
        <v>0</v>
      </c>
      <c r="BH23" s="27">
        <v>0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7">
        <v>0</v>
      </c>
      <c r="BQ23" s="27">
        <v>0</v>
      </c>
      <c r="BR23" s="27">
        <v>0</v>
      </c>
      <c r="BS23" s="27">
        <v>0</v>
      </c>
      <c r="BT23" s="27">
        <v>0</v>
      </c>
      <c r="BU23" s="27">
        <v>0</v>
      </c>
      <c r="BV23" s="27">
        <v>0</v>
      </c>
      <c r="BW23" s="27">
        <v>0</v>
      </c>
      <c r="BX23" s="27">
        <v>0</v>
      </c>
      <c r="BY23" s="27">
        <v>0</v>
      </c>
      <c r="BZ23" s="27">
        <v>0</v>
      </c>
      <c r="CA23" s="27">
        <v>0</v>
      </c>
      <c r="CB23" s="27">
        <v>0</v>
      </c>
      <c r="CC23" s="27">
        <v>0</v>
      </c>
      <c r="CD23" s="27">
        <v>0</v>
      </c>
      <c r="CE23" s="27">
        <v>0</v>
      </c>
      <c r="CF23" s="27">
        <v>0</v>
      </c>
      <c r="CG23" s="27">
        <v>0</v>
      </c>
      <c r="CH23" s="27">
        <v>0</v>
      </c>
      <c r="CI23" s="27">
        <v>0</v>
      </c>
      <c r="CJ23" s="27">
        <v>0</v>
      </c>
      <c r="CK23" s="27">
        <v>0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27">
        <v>0</v>
      </c>
      <c r="CW23" s="27">
        <v>0</v>
      </c>
      <c r="CX23" s="27">
        <v>0</v>
      </c>
    </row>
    <row r="24" spans="1:102" x14ac:dyDescent="0.2">
      <c r="A24" s="1">
        <v>-9980</v>
      </c>
      <c r="B24" s="27">
        <v>0</v>
      </c>
      <c r="C24" s="27">
        <v>0</v>
      </c>
      <c r="D24" s="27">
        <v>0</v>
      </c>
      <c r="E24" s="1">
        <v>-1000</v>
      </c>
      <c r="F24" s="27">
        <v>100</v>
      </c>
      <c r="G24" s="27">
        <v>100</v>
      </c>
      <c r="H24" s="27">
        <v>100</v>
      </c>
      <c r="I24" s="27">
        <v>100</v>
      </c>
      <c r="J24" s="27">
        <v>100</v>
      </c>
      <c r="K24" s="27">
        <v>100</v>
      </c>
      <c r="L24" s="27">
        <v>100</v>
      </c>
      <c r="M24" s="27">
        <v>100</v>
      </c>
      <c r="N24" s="27">
        <v>100</v>
      </c>
      <c r="O24" s="27">
        <v>100</v>
      </c>
      <c r="P24" s="27">
        <v>100</v>
      </c>
      <c r="Q24" s="27">
        <v>100</v>
      </c>
      <c r="R24" s="27">
        <v>100</v>
      </c>
      <c r="S24" s="27">
        <v>100</v>
      </c>
      <c r="T24" s="27">
        <v>100</v>
      </c>
      <c r="U24" s="27">
        <v>100</v>
      </c>
      <c r="V24" s="27">
        <v>100</v>
      </c>
      <c r="W24" s="27">
        <v>100</v>
      </c>
      <c r="X24" s="27">
        <v>100</v>
      </c>
      <c r="Y24" s="27">
        <v>100</v>
      </c>
      <c r="Z24" s="27">
        <v>100</v>
      </c>
      <c r="AA24" s="27">
        <v>100</v>
      </c>
      <c r="AB24" s="27">
        <v>100</v>
      </c>
      <c r="AC24" s="27">
        <v>100</v>
      </c>
      <c r="AD24" s="27">
        <v>100</v>
      </c>
      <c r="AE24" s="27">
        <v>100</v>
      </c>
      <c r="AF24" s="27">
        <v>0</v>
      </c>
      <c r="AG24" s="27">
        <v>0</v>
      </c>
      <c r="AH24" s="27">
        <v>0</v>
      </c>
      <c r="AI24" s="27">
        <v>0</v>
      </c>
      <c r="AJ24" s="27">
        <v>0</v>
      </c>
      <c r="AK24" s="27">
        <v>0</v>
      </c>
      <c r="AL24" s="27">
        <v>0</v>
      </c>
      <c r="AM24" s="27">
        <v>0</v>
      </c>
      <c r="AN24" s="27">
        <v>0</v>
      </c>
      <c r="AO24" s="27">
        <v>0</v>
      </c>
      <c r="AP24" s="27">
        <v>0</v>
      </c>
      <c r="AQ24" s="27">
        <v>0</v>
      </c>
      <c r="AR24" s="27">
        <v>0</v>
      </c>
      <c r="AS24" s="27">
        <v>0</v>
      </c>
      <c r="AT24" s="27">
        <v>0</v>
      </c>
      <c r="AU24" s="27">
        <v>0</v>
      </c>
      <c r="AV24" s="27">
        <v>0</v>
      </c>
      <c r="AW24" s="27">
        <v>0</v>
      </c>
      <c r="AX24" s="27">
        <v>0</v>
      </c>
      <c r="AY24" s="27">
        <v>0</v>
      </c>
      <c r="AZ24" s="27">
        <v>0</v>
      </c>
      <c r="BA24" s="27">
        <v>0</v>
      </c>
      <c r="BB24" s="27">
        <v>0</v>
      </c>
      <c r="BC24" s="27">
        <v>0</v>
      </c>
      <c r="BD24" s="27">
        <v>0</v>
      </c>
      <c r="BE24" s="27">
        <v>0</v>
      </c>
      <c r="BF24" s="27">
        <v>0</v>
      </c>
      <c r="BG24" s="27">
        <v>0</v>
      </c>
      <c r="BH24" s="27">
        <v>0</v>
      </c>
      <c r="BI24" s="27">
        <v>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7">
        <v>0</v>
      </c>
      <c r="BQ24" s="27">
        <v>0</v>
      </c>
      <c r="BR24" s="27">
        <v>0</v>
      </c>
      <c r="BS24" s="27">
        <v>0</v>
      </c>
      <c r="BT24" s="27">
        <v>0</v>
      </c>
      <c r="BU24" s="27">
        <v>0</v>
      </c>
      <c r="BV24" s="27">
        <v>0</v>
      </c>
      <c r="BW24" s="27">
        <v>0</v>
      </c>
      <c r="BX24" s="27">
        <v>0</v>
      </c>
      <c r="BY24" s="27">
        <v>0</v>
      </c>
      <c r="BZ24" s="27">
        <v>0</v>
      </c>
      <c r="CA24" s="27">
        <v>0</v>
      </c>
      <c r="CB24" s="27">
        <v>0</v>
      </c>
      <c r="CC24" s="27">
        <v>0</v>
      </c>
      <c r="CD24" s="27">
        <v>0</v>
      </c>
      <c r="CE24" s="27">
        <v>0</v>
      </c>
      <c r="CF24" s="27">
        <v>0</v>
      </c>
      <c r="CG24" s="27">
        <v>0</v>
      </c>
      <c r="CH24" s="27">
        <v>0</v>
      </c>
      <c r="CI24" s="27">
        <v>0</v>
      </c>
      <c r="CJ24" s="27">
        <v>0</v>
      </c>
      <c r="CK24" s="27">
        <v>0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27">
        <v>0</v>
      </c>
      <c r="CW24" s="27">
        <v>0</v>
      </c>
      <c r="CX24" s="27">
        <v>0</v>
      </c>
    </row>
    <row r="25" spans="1:102" x14ac:dyDescent="0.2">
      <c r="A25" s="1">
        <v>-9980</v>
      </c>
      <c r="B25" s="27">
        <v>0</v>
      </c>
      <c r="C25" s="27">
        <v>0</v>
      </c>
      <c r="D25" s="27">
        <v>0</v>
      </c>
      <c r="E25" s="1">
        <v>-1000</v>
      </c>
      <c r="F25" s="27">
        <v>100</v>
      </c>
      <c r="G25" s="27">
        <v>100</v>
      </c>
      <c r="H25" s="27">
        <v>100</v>
      </c>
      <c r="I25" s="27">
        <v>100</v>
      </c>
      <c r="J25" s="27">
        <v>100</v>
      </c>
      <c r="K25" s="27">
        <v>100</v>
      </c>
      <c r="L25" s="27">
        <v>100</v>
      </c>
      <c r="M25" s="27">
        <v>100</v>
      </c>
      <c r="N25" s="27">
        <v>100</v>
      </c>
      <c r="O25" s="27">
        <v>100</v>
      </c>
      <c r="P25" s="27">
        <v>100</v>
      </c>
      <c r="Q25" s="27">
        <v>100</v>
      </c>
      <c r="R25" s="27">
        <v>100</v>
      </c>
      <c r="S25" s="27">
        <v>100</v>
      </c>
      <c r="T25" s="27">
        <v>100</v>
      </c>
      <c r="U25" s="27">
        <v>100</v>
      </c>
      <c r="V25" s="1">
        <v>100</v>
      </c>
      <c r="W25" s="1">
        <v>100</v>
      </c>
      <c r="X25" s="1">
        <v>100</v>
      </c>
      <c r="Y25" s="1">
        <v>100</v>
      </c>
      <c r="Z25" s="1">
        <v>100</v>
      </c>
      <c r="AA25" s="1">
        <v>100</v>
      </c>
      <c r="AB25" s="1">
        <v>100</v>
      </c>
      <c r="AC25" s="1">
        <v>100</v>
      </c>
      <c r="AD25" s="1">
        <v>100</v>
      </c>
      <c r="AE25" s="1">
        <v>100</v>
      </c>
      <c r="AF25" s="1">
        <v>100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27">
        <v>0</v>
      </c>
      <c r="AQ25" s="27">
        <v>0</v>
      </c>
      <c r="AR25" s="27">
        <v>0</v>
      </c>
      <c r="AS25" s="27">
        <v>0</v>
      </c>
      <c r="AT25" s="27">
        <v>0</v>
      </c>
      <c r="AU25" s="27">
        <v>0</v>
      </c>
      <c r="AV25" s="27">
        <v>0</v>
      </c>
      <c r="AW25" s="27">
        <v>0</v>
      </c>
      <c r="AX25" s="27">
        <v>0</v>
      </c>
      <c r="AY25" s="27">
        <v>0</v>
      </c>
      <c r="AZ25" s="27">
        <v>0</v>
      </c>
      <c r="BA25" s="27">
        <v>0</v>
      </c>
      <c r="BB25" s="27">
        <v>0</v>
      </c>
      <c r="BC25" s="27">
        <v>0</v>
      </c>
      <c r="BD25" s="27">
        <v>0</v>
      </c>
      <c r="BE25" s="27">
        <v>0</v>
      </c>
      <c r="BF25" s="27">
        <v>0</v>
      </c>
      <c r="BG25" s="27">
        <v>0</v>
      </c>
      <c r="BH25" s="27">
        <v>0</v>
      </c>
      <c r="BI25" s="27">
        <v>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7">
        <v>0</v>
      </c>
      <c r="BQ25" s="27">
        <v>0</v>
      </c>
      <c r="BR25" s="27">
        <v>0</v>
      </c>
      <c r="BS25" s="27">
        <v>0</v>
      </c>
      <c r="BT25" s="27">
        <v>0</v>
      </c>
      <c r="BU25" s="27">
        <v>0</v>
      </c>
      <c r="BV25" s="27">
        <v>0</v>
      </c>
      <c r="BW25" s="27">
        <v>0</v>
      </c>
      <c r="BX25" s="27">
        <v>0</v>
      </c>
      <c r="BY25" s="27">
        <v>0</v>
      </c>
      <c r="BZ25" s="27">
        <v>0</v>
      </c>
      <c r="CA25" s="27">
        <v>0</v>
      </c>
      <c r="CB25" s="27">
        <v>0</v>
      </c>
      <c r="CC25" s="27">
        <v>0</v>
      </c>
      <c r="CD25" s="27">
        <v>0</v>
      </c>
      <c r="CE25" s="27">
        <v>0</v>
      </c>
      <c r="CF25" s="27">
        <v>0</v>
      </c>
      <c r="CG25" s="27">
        <v>0</v>
      </c>
      <c r="CH25" s="27">
        <v>0</v>
      </c>
      <c r="CI25" s="27">
        <v>0</v>
      </c>
      <c r="CJ25" s="27">
        <v>0</v>
      </c>
      <c r="CK25" s="27">
        <v>0</v>
      </c>
      <c r="CL25" s="27">
        <v>0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27">
        <v>0</v>
      </c>
      <c r="CW25" s="27">
        <v>0</v>
      </c>
      <c r="CX25" s="27">
        <v>0</v>
      </c>
    </row>
    <row r="26" spans="1:102" x14ac:dyDescent="0.2">
      <c r="A26" s="1">
        <v>-9980</v>
      </c>
      <c r="B26" s="27">
        <v>0</v>
      </c>
      <c r="C26" s="27">
        <v>0</v>
      </c>
      <c r="D26" s="27">
        <v>0</v>
      </c>
      <c r="E26" s="1">
        <v>-1000</v>
      </c>
      <c r="F26" s="27">
        <v>100</v>
      </c>
      <c r="G26" s="27">
        <v>100</v>
      </c>
      <c r="H26" s="27">
        <v>100</v>
      </c>
      <c r="I26" s="27">
        <v>100</v>
      </c>
      <c r="J26" s="27">
        <v>100</v>
      </c>
      <c r="K26" s="27">
        <v>100</v>
      </c>
      <c r="L26" s="27">
        <v>100</v>
      </c>
      <c r="M26" s="27">
        <v>100</v>
      </c>
      <c r="N26" s="27">
        <v>100</v>
      </c>
      <c r="O26" s="27">
        <v>100</v>
      </c>
      <c r="P26" s="27">
        <v>100</v>
      </c>
      <c r="Q26" s="27">
        <v>100</v>
      </c>
      <c r="R26" s="27">
        <v>100</v>
      </c>
      <c r="S26" s="27">
        <v>100</v>
      </c>
      <c r="T26" s="27">
        <v>100</v>
      </c>
      <c r="U26" s="27">
        <v>0</v>
      </c>
      <c r="V26" s="27">
        <v>0</v>
      </c>
      <c r="W26" s="27">
        <v>100</v>
      </c>
      <c r="X26" s="27">
        <v>100</v>
      </c>
      <c r="Y26" s="27">
        <v>100</v>
      </c>
      <c r="Z26" s="27">
        <v>100</v>
      </c>
      <c r="AA26" s="27">
        <v>100</v>
      </c>
      <c r="AB26" s="27">
        <v>100</v>
      </c>
      <c r="AC26" s="27">
        <v>100</v>
      </c>
      <c r="AD26" s="27">
        <v>100</v>
      </c>
      <c r="AE26" s="27">
        <v>100</v>
      </c>
      <c r="AF26" s="27">
        <v>100</v>
      </c>
      <c r="AG26" s="27">
        <v>100</v>
      </c>
      <c r="AH26" s="27">
        <v>0</v>
      </c>
      <c r="AI26" s="27">
        <v>0</v>
      </c>
      <c r="AJ26" s="27">
        <v>0</v>
      </c>
      <c r="AK26" s="27">
        <v>0</v>
      </c>
      <c r="AL26" s="27">
        <v>0</v>
      </c>
      <c r="AM26" s="27">
        <v>0</v>
      </c>
      <c r="AN26" s="27">
        <v>0</v>
      </c>
      <c r="AO26" s="27">
        <v>0</v>
      </c>
      <c r="AP26" s="27">
        <v>0</v>
      </c>
      <c r="AQ26" s="27">
        <v>0</v>
      </c>
      <c r="AR26" s="27">
        <v>0</v>
      </c>
      <c r="AS26" s="27">
        <v>0</v>
      </c>
      <c r="AT26" s="27">
        <v>0</v>
      </c>
      <c r="AU26" s="27">
        <v>0</v>
      </c>
      <c r="AV26" s="27">
        <v>0</v>
      </c>
      <c r="AW26" s="27">
        <v>0</v>
      </c>
      <c r="AX26" s="27">
        <v>0</v>
      </c>
      <c r="AY26" s="27">
        <v>0</v>
      </c>
      <c r="AZ26" s="27">
        <v>0</v>
      </c>
      <c r="BA26" s="27">
        <v>0</v>
      </c>
      <c r="BB26" s="27">
        <v>0</v>
      </c>
      <c r="BC26" s="27">
        <v>0</v>
      </c>
      <c r="BD26" s="27">
        <v>0</v>
      </c>
      <c r="BE26" s="27">
        <v>0</v>
      </c>
      <c r="BF26" s="27">
        <v>0</v>
      </c>
      <c r="BG26" s="27">
        <v>0</v>
      </c>
      <c r="BH26" s="27">
        <v>0</v>
      </c>
      <c r="BI26" s="27">
        <v>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7">
        <v>0</v>
      </c>
      <c r="BQ26" s="27">
        <v>0</v>
      </c>
      <c r="BR26" s="27">
        <v>0</v>
      </c>
      <c r="BS26" s="27">
        <v>0</v>
      </c>
      <c r="BT26" s="27">
        <v>0</v>
      </c>
      <c r="BU26" s="27">
        <v>0</v>
      </c>
      <c r="BV26" s="27">
        <v>0</v>
      </c>
      <c r="BW26" s="27">
        <v>0</v>
      </c>
      <c r="BX26" s="27">
        <v>0</v>
      </c>
      <c r="BY26" s="27">
        <v>0</v>
      </c>
      <c r="BZ26" s="27">
        <v>0</v>
      </c>
      <c r="CA26" s="27">
        <v>0</v>
      </c>
      <c r="CB26" s="27">
        <v>0</v>
      </c>
      <c r="CC26" s="27">
        <v>0</v>
      </c>
      <c r="CD26" s="27">
        <v>0</v>
      </c>
      <c r="CE26" s="27">
        <v>0</v>
      </c>
      <c r="CF26" s="27">
        <v>0</v>
      </c>
      <c r="CG26" s="27">
        <v>0</v>
      </c>
      <c r="CH26" s="27">
        <v>0</v>
      </c>
      <c r="CI26" s="27">
        <v>0</v>
      </c>
      <c r="CJ26" s="27">
        <v>0</v>
      </c>
      <c r="CK26" s="27">
        <v>0</v>
      </c>
      <c r="CL26" s="27">
        <v>0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27">
        <v>0</v>
      </c>
      <c r="CW26" s="27">
        <v>0</v>
      </c>
      <c r="CX26" s="27">
        <v>0</v>
      </c>
    </row>
    <row r="27" spans="1:102" x14ac:dyDescent="0.2">
      <c r="A27" s="1">
        <v>-9976.2000000000007</v>
      </c>
      <c r="B27" s="27">
        <v>0</v>
      </c>
      <c r="C27" s="27">
        <v>0</v>
      </c>
      <c r="D27" s="27">
        <v>0</v>
      </c>
      <c r="E27" s="1">
        <v>-1000</v>
      </c>
      <c r="F27" s="27">
        <v>100</v>
      </c>
      <c r="G27" s="27">
        <v>100</v>
      </c>
      <c r="H27" s="27">
        <v>100</v>
      </c>
      <c r="I27" s="27">
        <v>100</v>
      </c>
      <c r="J27" s="27">
        <v>100</v>
      </c>
      <c r="K27" s="27">
        <v>100</v>
      </c>
      <c r="L27" s="27">
        <v>100</v>
      </c>
      <c r="M27" s="27">
        <v>100</v>
      </c>
      <c r="N27" s="27">
        <v>100</v>
      </c>
      <c r="O27" s="27">
        <v>100</v>
      </c>
      <c r="P27" s="27">
        <v>100</v>
      </c>
      <c r="Q27" s="27">
        <v>100</v>
      </c>
      <c r="R27" s="27">
        <v>100</v>
      </c>
      <c r="S27" s="27">
        <v>100</v>
      </c>
      <c r="T27" s="27">
        <v>100</v>
      </c>
      <c r="U27" s="27">
        <v>0</v>
      </c>
      <c r="V27" s="27">
        <v>0</v>
      </c>
      <c r="W27" s="27">
        <v>0</v>
      </c>
      <c r="X27" s="1">
        <v>100</v>
      </c>
      <c r="Y27" s="1">
        <v>100</v>
      </c>
      <c r="Z27" s="1">
        <v>100</v>
      </c>
      <c r="AA27" s="1">
        <v>100</v>
      </c>
      <c r="AB27" s="1">
        <v>100</v>
      </c>
      <c r="AC27" s="1">
        <v>100</v>
      </c>
      <c r="AD27" s="1">
        <v>100</v>
      </c>
      <c r="AE27" s="1">
        <v>100</v>
      </c>
      <c r="AF27" s="1">
        <v>100</v>
      </c>
      <c r="AG27" s="1">
        <v>100</v>
      </c>
      <c r="AH27" s="1">
        <v>100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27">
        <v>0</v>
      </c>
      <c r="AQ27" s="27">
        <v>0</v>
      </c>
      <c r="AR27" s="27">
        <v>0</v>
      </c>
      <c r="AS27" s="27">
        <v>0</v>
      </c>
      <c r="AT27" s="27">
        <v>0</v>
      </c>
      <c r="AU27" s="27">
        <v>0</v>
      </c>
      <c r="AV27" s="27">
        <v>0</v>
      </c>
      <c r="AW27" s="27">
        <v>0</v>
      </c>
      <c r="AX27" s="27">
        <v>0</v>
      </c>
      <c r="AY27" s="27">
        <v>0</v>
      </c>
      <c r="AZ27" s="27">
        <v>0</v>
      </c>
      <c r="BA27" s="27">
        <v>0</v>
      </c>
      <c r="BB27" s="27">
        <v>0</v>
      </c>
      <c r="BC27" s="27">
        <v>0</v>
      </c>
      <c r="BD27" s="27">
        <v>0</v>
      </c>
      <c r="BE27" s="27">
        <v>0</v>
      </c>
      <c r="BF27" s="27">
        <v>0</v>
      </c>
      <c r="BG27" s="27">
        <v>0</v>
      </c>
      <c r="BH27" s="27">
        <v>0</v>
      </c>
      <c r="BI27" s="27">
        <v>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7">
        <v>0</v>
      </c>
      <c r="BQ27" s="27">
        <v>0</v>
      </c>
      <c r="BR27" s="27">
        <v>0</v>
      </c>
      <c r="BS27" s="27">
        <v>0</v>
      </c>
      <c r="BT27" s="27">
        <v>0</v>
      </c>
      <c r="BU27" s="27">
        <v>0</v>
      </c>
      <c r="BV27" s="27">
        <v>0</v>
      </c>
      <c r="BW27" s="27">
        <v>0</v>
      </c>
      <c r="BX27" s="27">
        <v>0</v>
      </c>
      <c r="BY27" s="27">
        <v>0</v>
      </c>
      <c r="BZ27" s="27">
        <v>0</v>
      </c>
      <c r="CA27" s="27">
        <v>0</v>
      </c>
      <c r="CB27" s="27">
        <v>0</v>
      </c>
      <c r="CC27" s="27">
        <v>0</v>
      </c>
      <c r="CD27" s="27">
        <v>0</v>
      </c>
      <c r="CE27" s="27">
        <v>0</v>
      </c>
      <c r="CF27" s="27">
        <v>0</v>
      </c>
      <c r="CG27" s="27">
        <v>0</v>
      </c>
      <c r="CH27" s="27">
        <v>0</v>
      </c>
      <c r="CI27" s="27">
        <v>0</v>
      </c>
      <c r="CJ27" s="27">
        <v>0</v>
      </c>
      <c r="CK27" s="27">
        <v>0</v>
      </c>
      <c r="CL27" s="27">
        <v>0</v>
      </c>
      <c r="CM27" s="27">
        <v>0</v>
      </c>
      <c r="CN27" s="27">
        <v>0</v>
      </c>
      <c r="CO27" s="27">
        <v>0</v>
      </c>
      <c r="CP27" s="27">
        <v>0</v>
      </c>
      <c r="CQ27" s="27">
        <v>0</v>
      </c>
      <c r="CR27" s="27">
        <v>0</v>
      </c>
      <c r="CS27" s="27">
        <v>0</v>
      </c>
      <c r="CT27" s="27">
        <v>0</v>
      </c>
      <c r="CU27" s="27">
        <v>0</v>
      </c>
      <c r="CV27" s="27">
        <v>0</v>
      </c>
      <c r="CW27" s="27">
        <v>0</v>
      </c>
      <c r="CX27" s="27">
        <v>0</v>
      </c>
    </row>
    <row r="28" spans="1:102" x14ac:dyDescent="0.2">
      <c r="A28" s="1">
        <v>-9959.925988462981</v>
      </c>
      <c r="B28" s="27">
        <v>0</v>
      </c>
      <c r="C28" s="27">
        <v>0</v>
      </c>
      <c r="D28" s="27">
        <v>0</v>
      </c>
      <c r="E28" s="1">
        <v>-1000</v>
      </c>
      <c r="F28" s="27">
        <v>100</v>
      </c>
      <c r="G28" s="27">
        <v>100</v>
      </c>
      <c r="H28" s="27">
        <v>100</v>
      </c>
      <c r="I28" s="27">
        <v>100</v>
      </c>
      <c r="J28" s="27">
        <v>100</v>
      </c>
      <c r="K28" s="27">
        <v>100</v>
      </c>
      <c r="L28" s="27">
        <v>100</v>
      </c>
      <c r="M28" s="27">
        <v>100</v>
      </c>
      <c r="N28" s="27">
        <v>100</v>
      </c>
      <c r="O28" s="27">
        <v>100</v>
      </c>
      <c r="P28" s="27">
        <v>100</v>
      </c>
      <c r="Q28" s="27">
        <v>100</v>
      </c>
      <c r="R28" s="27">
        <v>100</v>
      </c>
      <c r="S28" s="27">
        <v>100</v>
      </c>
      <c r="T28" s="27">
        <v>100</v>
      </c>
      <c r="U28" s="27">
        <v>0</v>
      </c>
      <c r="V28" s="27">
        <v>0</v>
      </c>
      <c r="W28" s="27">
        <v>0</v>
      </c>
      <c r="X28" s="27">
        <v>0</v>
      </c>
      <c r="Y28" s="27">
        <v>100</v>
      </c>
      <c r="Z28" s="27">
        <v>100</v>
      </c>
      <c r="AA28" s="27">
        <v>100</v>
      </c>
      <c r="AB28" s="27">
        <v>100</v>
      </c>
      <c r="AC28" s="27">
        <v>100</v>
      </c>
      <c r="AD28" s="27">
        <v>100</v>
      </c>
      <c r="AE28" s="27">
        <v>100</v>
      </c>
      <c r="AF28" s="27">
        <v>100</v>
      </c>
      <c r="AG28" s="27">
        <v>100</v>
      </c>
      <c r="AH28" s="27">
        <v>100</v>
      </c>
      <c r="AI28" s="27">
        <v>100</v>
      </c>
      <c r="AJ28" s="27">
        <v>0</v>
      </c>
      <c r="AK28" s="27">
        <v>0</v>
      </c>
      <c r="AL28" s="27">
        <v>0</v>
      </c>
      <c r="AM28" s="27">
        <v>0</v>
      </c>
      <c r="AN28" s="27">
        <v>0</v>
      </c>
      <c r="AO28" s="27">
        <v>0</v>
      </c>
      <c r="AP28" s="27">
        <v>0</v>
      </c>
      <c r="AQ28" s="27">
        <v>0</v>
      </c>
      <c r="AR28" s="27">
        <v>0</v>
      </c>
      <c r="AS28" s="27">
        <v>0</v>
      </c>
      <c r="AT28" s="27">
        <v>0</v>
      </c>
      <c r="AU28" s="27">
        <v>0</v>
      </c>
      <c r="AV28" s="27">
        <v>0</v>
      </c>
      <c r="AW28" s="27">
        <v>0</v>
      </c>
      <c r="AX28" s="27">
        <v>0</v>
      </c>
      <c r="AY28" s="27">
        <v>0</v>
      </c>
      <c r="AZ28" s="27">
        <v>0</v>
      </c>
      <c r="BA28" s="27">
        <v>0</v>
      </c>
      <c r="BB28" s="27">
        <v>0</v>
      </c>
      <c r="BC28" s="27">
        <v>0</v>
      </c>
      <c r="BD28" s="27">
        <v>0</v>
      </c>
      <c r="BE28" s="27">
        <v>0</v>
      </c>
      <c r="BF28" s="27">
        <v>0</v>
      </c>
      <c r="BG28" s="27">
        <v>0</v>
      </c>
      <c r="BH28" s="27">
        <v>0</v>
      </c>
      <c r="BI28" s="27">
        <v>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7">
        <v>0</v>
      </c>
      <c r="BQ28" s="27">
        <v>0</v>
      </c>
      <c r="BR28" s="27">
        <v>0</v>
      </c>
      <c r="BS28" s="27">
        <v>0</v>
      </c>
      <c r="BT28" s="27">
        <v>0</v>
      </c>
      <c r="BU28" s="27">
        <v>0</v>
      </c>
      <c r="BV28" s="27">
        <v>0</v>
      </c>
      <c r="BW28" s="27">
        <v>0</v>
      </c>
      <c r="BX28" s="27">
        <v>0</v>
      </c>
      <c r="BY28" s="27">
        <v>0</v>
      </c>
      <c r="BZ28" s="27">
        <v>0</v>
      </c>
      <c r="CA28" s="27">
        <v>0</v>
      </c>
      <c r="CB28" s="27">
        <v>0</v>
      </c>
      <c r="CC28" s="27">
        <v>0</v>
      </c>
      <c r="CD28" s="27">
        <v>0</v>
      </c>
      <c r="CE28" s="27">
        <v>0</v>
      </c>
      <c r="CF28" s="27">
        <v>0</v>
      </c>
      <c r="CG28" s="27">
        <v>0</v>
      </c>
      <c r="CH28" s="27">
        <v>0</v>
      </c>
      <c r="CI28" s="27">
        <v>0</v>
      </c>
      <c r="CJ28" s="27">
        <v>0</v>
      </c>
      <c r="CK28" s="27">
        <v>0</v>
      </c>
      <c r="CL28" s="27">
        <v>0</v>
      </c>
      <c r="CM28" s="27">
        <v>0</v>
      </c>
      <c r="CN28" s="27">
        <v>0</v>
      </c>
      <c r="CO28" s="27">
        <v>0</v>
      </c>
      <c r="CP28" s="27">
        <v>0</v>
      </c>
      <c r="CQ28" s="27">
        <v>0</v>
      </c>
      <c r="CR28" s="27">
        <v>0</v>
      </c>
      <c r="CS28" s="27">
        <v>0</v>
      </c>
      <c r="CT28" s="27">
        <v>0</v>
      </c>
      <c r="CU28" s="27">
        <v>0</v>
      </c>
      <c r="CV28" s="27">
        <v>0</v>
      </c>
      <c r="CW28" s="27">
        <v>0</v>
      </c>
      <c r="CX28" s="27">
        <v>0</v>
      </c>
    </row>
    <row r="29" spans="1:102" x14ac:dyDescent="0.2">
      <c r="A29" s="1">
        <v>-9929.8110606331156</v>
      </c>
      <c r="B29" s="27">
        <v>0</v>
      </c>
      <c r="C29" s="27">
        <v>0</v>
      </c>
      <c r="D29" s="27">
        <v>0</v>
      </c>
      <c r="E29" s="1">
        <v>-1000</v>
      </c>
      <c r="F29" s="27">
        <v>100</v>
      </c>
      <c r="G29" s="27">
        <v>100</v>
      </c>
      <c r="H29" s="27">
        <v>100</v>
      </c>
      <c r="I29" s="27">
        <v>100</v>
      </c>
      <c r="J29" s="27">
        <v>100</v>
      </c>
      <c r="K29" s="27">
        <v>100</v>
      </c>
      <c r="L29" s="27">
        <v>100</v>
      </c>
      <c r="M29" s="27">
        <v>100</v>
      </c>
      <c r="N29" s="27">
        <v>100</v>
      </c>
      <c r="O29" s="27">
        <v>100</v>
      </c>
      <c r="P29" s="29">
        <v>100</v>
      </c>
      <c r="Q29" s="29">
        <v>100</v>
      </c>
      <c r="R29" s="29">
        <v>100</v>
      </c>
      <c r="S29" s="29">
        <v>100</v>
      </c>
      <c r="T29" s="29">
        <v>100</v>
      </c>
      <c r="U29" s="29">
        <v>0</v>
      </c>
      <c r="V29" s="29">
        <v>0</v>
      </c>
      <c r="W29" s="29">
        <v>0</v>
      </c>
      <c r="X29" s="1">
        <v>0</v>
      </c>
      <c r="Y29" s="1">
        <v>0</v>
      </c>
      <c r="Z29" s="1">
        <v>100</v>
      </c>
      <c r="AA29" s="1">
        <v>100</v>
      </c>
      <c r="AB29" s="1">
        <v>100</v>
      </c>
      <c r="AC29" s="1">
        <v>100</v>
      </c>
      <c r="AD29" s="1">
        <v>100</v>
      </c>
      <c r="AE29" s="1">
        <v>100</v>
      </c>
      <c r="AF29" s="1">
        <v>100</v>
      </c>
      <c r="AG29" s="1">
        <v>100</v>
      </c>
      <c r="AH29" s="1">
        <v>100</v>
      </c>
      <c r="AI29" s="1">
        <v>100</v>
      </c>
      <c r="AJ29" s="1">
        <v>100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27">
        <v>0</v>
      </c>
      <c r="AQ29" s="27">
        <v>0</v>
      </c>
      <c r="AR29" s="27">
        <v>0</v>
      </c>
      <c r="AS29" s="27">
        <v>0</v>
      </c>
      <c r="AT29" s="27">
        <v>0</v>
      </c>
      <c r="AU29" s="27">
        <v>0</v>
      </c>
      <c r="AV29" s="27">
        <v>0</v>
      </c>
      <c r="AW29" s="27">
        <v>0</v>
      </c>
      <c r="AX29" s="27">
        <v>0</v>
      </c>
      <c r="AY29" s="27">
        <v>0</v>
      </c>
      <c r="AZ29" s="27">
        <v>0</v>
      </c>
      <c r="BA29" s="27">
        <v>0</v>
      </c>
      <c r="BB29" s="27">
        <v>0</v>
      </c>
      <c r="BC29" s="27">
        <v>0</v>
      </c>
      <c r="BD29" s="27">
        <v>0</v>
      </c>
      <c r="BE29" s="27">
        <v>0</v>
      </c>
      <c r="BF29" s="27">
        <v>0</v>
      </c>
      <c r="BG29" s="27">
        <v>0</v>
      </c>
      <c r="BH29" s="27">
        <v>0</v>
      </c>
      <c r="BI29" s="27">
        <v>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7">
        <v>0</v>
      </c>
      <c r="BQ29" s="27">
        <v>0</v>
      </c>
      <c r="BR29" s="27">
        <v>0</v>
      </c>
      <c r="BS29" s="27">
        <v>0</v>
      </c>
      <c r="BT29" s="27">
        <v>0</v>
      </c>
      <c r="BU29" s="27">
        <v>0</v>
      </c>
      <c r="BV29" s="27">
        <v>0</v>
      </c>
      <c r="BW29" s="27">
        <v>0</v>
      </c>
      <c r="BX29" s="27">
        <v>0</v>
      </c>
      <c r="BY29" s="27">
        <v>0</v>
      </c>
      <c r="BZ29" s="27">
        <v>0</v>
      </c>
      <c r="CA29" s="27">
        <v>0</v>
      </c>
      <c r="CB29" s="27">
        <v>0</v>
      </c>
      <c r="CC29" s="27">
        <v>0</v>
      </c>
      <c r="CD29" s="27">
        <v>0</v>
      </c>
      <c r="CE29" s="27">
        <v>0</v>
      </c>
      <c r="CF29" s="27">
        <v>0</v>
      </c>
      <c r="CG29" s="27">
        <v>0</v>
      </c>
      <c r="CH29" s="27">
        <v>0</v>
      </c>
      <c r="CI29" s="27">
        <v>0</v>
      </c>
      <c r="CJ29" s="27">
        <v>0</v>
      </c>
      <c r="CK29" s="27">
        <v>0</v>
      </c>
      <c r="CL29" s="27">
        <v>0</v>
      </c>
      <c r="CM29" s="27">
        <v>0</v>
      </c>
      <c r="CN29" s="27">
        <v>0</v>
      </c>
      <c r="CO29" s="27">
        <v>0</v>
      </c>
      <c r="CP29" s="27">
        <v>0</v>
      </c>
      <c r="CQ29" s="27">
        <v>0</v>
      </c>
      <c r="CR29" s="27">
        <v>0</v>
      </c>
      <c r="CS29" s="27">
        <v>0</v>
      </c>
      <c r="CT29" s="27">
        <v>0</v>
      </c>
      <c r="CU29" s="27">
        <v>0</v>
      </c>
      <c r="CV29" s="27">
        <v>0</v>
      </c>
      <c r="CW29" s="27">
        <v>0</v>
      </c>
      <c r="CX29" s="27">
        <v>0</v>
      </c>
    </row>
    <row r="30" spans="1:102" x14ac:dyDescent="0.2">
      <c r="A30" s="1">
        <v>-9892.8961328032456</v>
      </c>
      <c r="B30" s="27">
        <v>0</v>
      </c>
      <c r="C30" s="27">
        <v>0</v>
      </c>
      <c r="D30" s="27">
        <v>0</v>
      </c>
      <c r="E30" s="1">
        <v>-994</v>
      </c>
      <c r="F30" s="27">
        <v>100</v>
      </c>
      <c r="G30" s="27">
        <v>100</v>
      </c>
      <c r="H30" s="27">
        <v>100</v>
      </c>
      <c r="I30" s="27">
        <v>100</v>
      </c>
      <c r="J30" s="27">
        <v>100</v>
      </c>
      <c r="K30" s="27">
        <v>100</v>
      </c>
      <c r="L30" s="27">
        <v>100</v>
      </c>
      <c r="M30" s="27">
        <v>100</v>
      </c>
      <c r="N30" s="27">
        <v>100</v>
      </c>
      <c r="O30" s="27">
        <v>100</v>
      </c>
      <c r="P30" s="29">
        <v>100</v>
      </c>
      <c r="Q30" s="29">
        <v>100</v>
      </c>
      <c r="R30" s="29">
        <v>100</v>
      </c>
      <c r="S30" s="29">
        <v>100</v>
      </c>
      <c r="T30" s="29">
        <v>100</v>
      </c>
      <c r="U30" s="29">
        <v>0</v>
      </c>
      <c r="V30" s="29">
        <v>0</v>
      </c>
      <c r="W30" s="29">
        <v>0</v>
      </c>
      <c r="X30" s="27">
        <v>0</v>
      </c>
      <c r="Y30" s="27">
        <v>0</v>
      </c>
      <c r="Z30" s="27">
        <v>0</v>
      </c>
      <c r="AA30" s="27">
        <v>100</v>
      </c>
      <c r="AB30" s="27">
        <v>100</v>
      </c>
      <c r="AC30" s="27">
        <v>100</v>
      </c>
      <c r="AD30" s="27">
        <v>100</v>
      </c>
      <c r="AE30" s="27">
        <v>100</v>
      </c>
      <c r="AF30" s="27">
        <v>100</v>
      </c>
      <c r="AG30" s="27">
        <v>100</v>
      </c>
      <c r="AH30" s="27">
        <v>100</v>
      </c>
      <c r="AI30" s="27">
        <v>100</v>
      </c>
      <c r="AJ30" s="27">
        <v>100</v>
      </c>
      <c r="AK30" s="27">
        <v>100</v>
      </c>
      <c r="AL30" s="27">
        <v>0</v>
      </c>
      <c r="AM30" s="27">
        <v>0</v>
      </c>
      <c r="AN30" s="27">
        <v>0</v>
      </c>
      <c r="AO30" s="27">
        <v>0</v>
      </c>
      <c r="AP30" s="27">
        <v>0</v>
      </c>
      <c r="AQ30" s="27">
        <v>0</v>
      </c>
      <c r="AR30" s="27">
        <v>0</v>
      </c>
      <c r="AS30" s="27">
        <v>0</v>
      </c>
      <c r="AT30" s="27">
        <v>0</v>
      </c>
      <c r="AU30" s="27">
        <v>0</v>
      </c>
      <c r="AV30" s="27">
        <v>0</v>
      </c>
      <c r="AW30" s="27">
        <v>0</v>
      </c>
      <c r="AX30" s="27">
        <v>0</v>
      </c>
      <c r="AY30" s="27">
        <v>0</v>
      </c>
      <c r="AZ30" s="27">
        <v>0</v>
      </c>
      <c r="BA30" s="27">
        <v>0</v>
      </c>
      <c r="BB30" s="27">
        <v>0</v>
      </c>
      <c r="BC30" s="27">
        <v>0</v>
      </c>
      <c r="BD30" s="27">
        <v>0</v>
      </c>
      <c r="BE30" s="27">
        <v>0</v>
      </c>
      <c r="BF30" s="27">
        <v>0</v>
      </c>
      <c r="BG30" s="27">
        <v>0</v>
      </c>
      <c r="BH30" s="27">
        <v>0</v>
      </c>
      <c r="BI30" s="27">
        <v>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7">
        <v>0</v>
      </c>
      <c r="BQ30" s="27">
        <v>0</v>
      </c>
      <c r="BR30" s="27">
        <v>0</v>
      </c>
      <c r="BS30" s="27">
        <v>0</v>
      </c>
      <c r="BT30" s="27">
        <v>0</v>
      </c>
      <c r="BU30" s="27">
        <v>0</v>
      </c>
      <c r="BV30" s="27">
        <v>0</v>
      </c>
      <c r="BW30" s="27">
        <v>0</v>
      </c>
      <c r="BX30" s="27">
        <v>0</v>
      </c>
      <c r="BY30" s="27">
        <v>0</v>
      </c>
      <c r="BZ30" s="27">
        <v>0</v>
      </c>
      <c r="CA30" s="27">
        <v>0</v>
      </c>
      <c r="CB30" s="27">
        <v>0</v>
      </c>
      <c r="CC30" s="27">
        <v>0</v>
      </c>
      <c r="CD30" s="27">
        <v>0</v>
      </c>
      <c r="CE30" s="27">
        <v>0</v>
      </c>
      <c r="CF30" s="27">
        <v>0</v>
      </c>
      <c r="CG30" s="27">
        <v>0</v>
      </c>
      <c r="CH30" s="27">
        <v>0</v>
      </c>
      <c r="CI30" s="27">
        <v>0</v>
      </c>
      <c r="CJ30" s="27">
        <v>0</v>
      </c>
      <c r="CK30" s="27">
        <v>0</v>
      </c>
      <c r="CL30" s="27">
        <v>0</v>
      </c>
      <c r="CM30" s="27">
        <v>0</v>
      </c>
      <c r="CN30" s="27">
        <v>0</v>
      </c>
      <c r="CO30" s="27">
        <v>0</v>
      </c>
      <c r="CP30" s="27">
        <v>0</v>
      </c>
      <c r="CQ30" s="27">
        <v>0</v>
      </c>
      <c r="CR30" s="27">
        <v>0</v>
      </c>
      <c r="CS30" s="27">
        <v>0</v>
      </c>
      <c r="CT30" s="27">
        <v>0</v>
      </c>
      <c r="CU30" s="27">
        <v>0</v>
      </c>
      <c r="CV30" s="27">
        <v>0</v>
      </c>
      <c r="CW30" s="27">
        <v>0</v>
      </c>
      <c r="CX30" s="27">
        <v>0</v>
      </c>
    </row>
    <row r="31" spans="1:102" x14ac:dyDescent="0.2">
      <c r="A31" s="1">
        <v>-9856.8054690420922</v>
      </c>
      <c r="B31" s="27">
        <v>0</v>
      </c>
      <c r="C31" s="27">
        <v>0</v>
      </c>
      <c r="D31" s="27">
        <v>0</v>
      </c>
      <c r="E31" s="1">
        <v>-983.81471862576132</v>
      </c>
      <c r="F31" s="27">
        <v>100</v>
      </c>
      <c r="G31" s="27">
        <v>100</v>
      </c>
      <c r="H31" s="27">
        <v>100</v>
      </c>
      <c r="I31" s="27">
        <v>100</v>
      </c>
      <c r="J31" s="27">
        <v>100</v>
      </c>
      <c r="K31" s="27">
        <v>100</v>
      </c>
      <c r="L31" s="27">
        <v>100</v>
      </c>
      <c r="M31" s="27">
        <v>100</v>
      </c>
      <c r="N31" s="27">
        <v>100</v>
      </c>
      <c r="O31" s="27">
        <v>100</v>
      </c>
      <c r="P31" s="27">
        <v>100</v>
      </c>
      <c r="Q31" s="27">
        <v>100</v>
      </c>
      <c r="R31" s="27">
        <v>100</v>
      </c>
      <c r="S31" s="27">
        <v>100</v>
      </c>
      <c r="T31" s="27">
        <v>100</v>
      </c>
      <c r="U31" s="27">
        <v>0</v>
      </c>
      <c r="V31" s="27">
        <v>0</v>
      </c>
      <c r="W31" s="27">
        <v>0</v>
      </c>
      <c r="X31" s="1">
        <v>0</v>
      </c>
      <c r="Y31" s="1">
        <v>0</v>
      </c>
      <c r="Z31" s="1">
        <v>0</v>
      </c>
      <c r="AA31" s="1">
        <v>0</v>
      </c>
      <c r="AB31" s="1">
        <v>100</v>
      </c>
      <c r="AC31" s="1">
        <v>100</v>
      </c>
      <c r="AD31" s="1">
        <v>100</v>
      </c>
      <c r="AE31" s="1">
        <v>100</v>
      </c>
      <c r="AF31" s="1">
        <v>100</v>
      </c>
      <c r="AG31" s="1">
        <v>100</v>
      </c>
      <c r="AH31" s="1">
        <v>100</v>
      </c>
      <c r="AI31" s="1">
        <v>100</v>
      </c>
      <c r="AJ31" s="1">
        <v>100</v>
      </c>
      <c r="AK31" s="1">
        <v>100</v>
      </c>
      <c r="AL31" s="1">
        <v>100</v>
      </c>
      <c r="AM31" s="1">
        <v>0</v>
      </c>
      <c r="AN31" s="1">
        <v>0</v>
      </c>
      <c r="AO31" s="1">
        <v>0</v>
      </c>
      <c r="AP31" s="27">
        <v>0</v>
      </c>
      <c r="AQ31" s="27">
        <v>0</v>
      </c>
      <c r="AR31" s="27">
        <v>0</v>
      </c>
      <c r="AS31" s="27">
        <v>0</v>
      </c>
      <c r="AT31" s="27">
        <v>0</v>
      </c>
      <c r="AU31" s="27">
        <v>0</v>
      </c>
      <c r="AV31" s="27">
        <v>0</v>
      </c>
      <c r="AW31" s="27">
        <v>0</v>
      </c>
      <c r="AX31" s="27">
        <v>0</v>
      </c>
      <c r="AY31" s="27">
        <v>0</v>
      </c>
      <c r="AZ31" s="27">
        <v>0</v>
      </c>
      <c r="BA31" s="27">
        <v>0</v>
      </c>
      <c r="BB31" s="27">
        <v>0</v>
      </c>
      <c r="BC31" s="27">
        <v>0</v>
      </c>
      <c r="BD31" s="27">
        <v>0</v>
      </c>
      <c r="BE31" s="27">
        <v>0</v>
      </c>
      <c r="BF31" s="27">
        <v>0</v>
      </c>
      <c r="BG31" s="27">
        <v>0</v>
      </c>
      <c r="BH31" s="27">
        <v>0</v>
      </c>
      <c r="BI31" s="27">
        <v>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7">
        <v>0</v>
      </c>
      <c r="BQ31" s="27">
        <v>0</v>
      </c>
      <c r="BR31" s="27">
        <v>0</v>
      </c>
      <c r="BS31" s="27">
        <v>0</v>
      </c>
      <c r="BT31" s="27">
        <v>0</v>
      </c>
      <c r="BU31" s="27">
        <v>0</v>
      </c>
      <c r="BV31" s="27">
        <v>0</v>
      </c>
      <c r="BW31" s="27">
        <v>0</v>
      </c>
      <c r="BX31" s="27">
        <v>0</v>
      </c>
      <c r="BY31" s="27">
        <v>0</v>
      </c>
      <c r="BZ31" s="27">
        <v>0</v>
      </c>
      <c r="CA31" s="27">
        <v>0</v>
      </c>
      <c r="CB31" s="27">
        <v>0</v>
      </c>
      <c r="CC31" s="27">
        <v>0</v>
      </c>
      <c r="CD31" s="27">
        <v>0</v>
      </c>
      <c r="CE31" s="27">
        <v>0</v>
      </c>
      <c r="CF31" s="27">
        <v>0</v>
      </c>
      <c r="CG31" s="27">
        <v>0</v>
      </c>
      <c r="CH31" s="27">
        <v>0</v>
      </c>
      <c r="CI31" s="27">
        <v>0</v>
      </c>
      <c r="CJ31" s="27">
        <v>0</v>
      </c>
      <c r="CK31" s="27">
        <v>0</v>
      </c>
      <c r="CL31" s="27">
        <v>0</v>
      </c>
      <c r="CM31" s="27">
        <v>0</v>
      </c>
      <c r="CN31" s="27">
        <v>0</v>
      </c>
      <c r="CO31" s="27">
        <v>0</v>
      </c>
      <c r="CP31" s="27">
        <v>0</v>
      </c>
      <c r="CQ31" s="27">
        <v>0</v>
      </c>
      <c r="CR31" s="27">
        <v>0</v>
      </c>
      <c r="CS31" s="27">
        <v>0</v>
      </c>
      <c r="CT31" s="27">
        <v>0</v>
      </c>
      <c r="CU31" s="27">
        <v>0</v>
      </c>
      <c r="CV31" s="27">
        <v>0</v>
      </c>
      <c r="CW31" s="27">
        <v>0</v>
      </c>
      <c r="CX31" s="27">
        <v>0</v>
      </c>
    </row>
    <row r="32" spans="1:102" x14ac:dyDescent="0.2">
      <c r="A32" s="1">
        <v>-9822.0804907058846</v>
      </c>
      <c r="B32" s="27">
        <v>0</v>
      </c>
      <c r="C32" s="27">
        <v>0</v>
      </c>
      <c r="D32" s="29">
        <v>0</v>
      </c>
      <c r="E32" s="1">
        <v>-974.21055556972715</v>
      </c>
      <c r="F32" s="27">
        <v>100</v>
      </c>
      <c r="G32" s="27">
        <v>100</v>
      </c>
      <c r="H32" s="27">
        <v>100</v>
      </c>
      <c r="I32" s="27">
        <v>100</v>
      </c>
      <c r="J32" s="27">
        <v>100</v>
      </c>
      <c r="K32" s="27">
        <v>100</v>
      </c>
      <c r="L32" s="27">
        <v>100</v>
      </c>
      <c r="M32" s="27">
        <v>100</v>
      </c>
      <c r="N32" s="27">
        <v>100</v>
      </c>
      <c r="O32" s="27">
        <v>100</v>
      </c>
      <c r="P32" s="27">
        <v>100</v>
      </c>
      <c r="Q32" s="27">
        <v>100</v>
      </c>
      <c r="R32" s="27">
        <v>100</v>
      </c>
      <c r="S32" s="27">
        <v>100</v>
      </c>
      <c r="T32" s="27">
        <v>100</v>
      </c>
      <c r="U32" s="27">
        <v>100</v>
      </c>
      <c r="V32" s="27">
        <v>100</v>
      </c>
      <c r="W32" s="27">
        <v>100</v>
      </c>
      <c r="X32" s="27">
        <v>100</v>
      </c>
      <c r="Y32" s="27">
        <v>100</v>
      </c>
      <c r="Z32" s="27">
        <v>100</v>
      </c>
      <c r="AA32" s="27">
        <v>100</v>
      </c>
      <c r="AB32" s="27">
        <v>100</v>
      </c>
      <c r="AC32" s="27">
        <v>100</v>
      </c>
      <c r="AD32" s="27">
        <v>100</v>
      </c>
      <c r="AE32" s="27">
        <v>100</v>
      </c>
      <c r="AF32" s="27">
        <v>100</v>
      </c>
      <c r="AG32" s="27">
        <v>100</v>
      </c>
      <c r="AH32" s="27">
        <v>100</v>
      </c>
      <c r="AI32" s="27">
        <v>100</v>
      </c>
      <c r="AJ32" s="27">
        <v>100</v>
      </c>
      <c r="AK32" s="27">
        <v>100</v>
      </c>
      <c r="AL32" s="27">
        <v>100</v>
      </c>
      <c r="AM32" s="27">
        <v>100</v>
      </c>
      <c r="AN32" s="27">
        <v>0</v>
      </c>
      <c r="AO32" s="27">
        <v>0</v>
      </c>
      <c r="AP32" s="27">
        <v>0</v>
      </c>
      <c r="AQ32" s="27">
        <v>0</v>
      </c>
      <c r="AR32" s="27">
        <v>0</v>
      </c>
      <c r="AS32" s="27">
        <v>0</v>
      </c>
      <c r="AT32" s="27">
        <v>0</v>
      </c>
      <c r="AU32" s="27">
        <v>0</v>
      </c>
      <c r="AV32" s="27">
        <v>0</v>
      </c>
      <c r="AW32" s="27">
        <v>0</v>
      </c>
      <c r="AX32" s="27">
        <v>0</v>
      </c>
      <c r="AY32" s="27">
        <v>0</v>
      </c>
      <c r="AZ32" s="27">
        <v>0</v>
      </c>
      <c r="BA32" s="27">
        <v>0</v>
      </c>
      <c r="BB32" s="27">
        <v>0</v>
      </c>
      <c r="BC32" s="27">
        <v>0</v>
      </c>
      <c r="BD32" s="27">
        <v>0</v>
      </c>
      <c r="BE32" s="27">
        <v>0</v>
      </c>
      <c r="BF32" s="27">
        <v>0</v>
      </c>
      <c r="BG32" s="27">
        <v>0</v>
      </c>
      <c r="BH32" s="27">
        <v>0</v>
      </c>
      <c r="BI32" s="27">
        <v>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7">
        <v>0</v>
      </c>
      <c r="BQ32" s="27">
        <v>0</v>
      </c>
      <c r="BR32" s="27">
        <v>0</v>
      </c>
      <c r="BS32" s="27">
        <v>0</v>
      </c>
      <c r="BT32" s="27">
        <v>0</v>
      </c>
      <c r="BU32" s="27">
        <v>0</v>
      </c>
      <c r="BV32" s="27">
        <v>0</v>
      </c>
      <c r="BW32" s="27">
        <v>0</v>
      </c>
      <c r="BX32" s="27">
        <v>0</v>
      </c>
      <c r="BY32" s="27">
        <v>0</v>
      </c>
      <c r="BZ32" s="27">
        <v>0</v>
      </c>
      <c r="CA32" s="27">
        <v>0</v>
      </c>
      <c r="CB32" s="27">
        <v>0</v>
      </c>
      <c r="CC32" s="27">
        <v>0</v>
      </c>
      <c r="CD32" s="27">
        <v>0</v>
      </c>
      <c r="CE32" s="27">
        <v>0</v>
      </c>
      <c r="CF32" s="27">
        <v>0</v>
      </c>
      <c r="CG32" s="27">
        <v>0</v>
      </c>
      <c r="CH32" s="27">
        <v>0</v>
      </c>
      <c r="CI32" s="27">
        <v>0</v>
      </c>
      <c r="CJ32" s="27">
        <v>0</v>
      </c>
      <c r="CK32" s="27">
        <v>0</v>
      </c>
      <c r="CL32" s="27">
        <v>0</v>
      </c>
      <c r="CM32" s="27">
        <v>0</v>
      </c>
      <c r="CN32" s="27">
        <v>0</v>
      </c>
      <c r="CO32" s="27">
        <v>0</v>
      </c>
      <c r="CP32" s="27">
        <v>0</v>
      </c>
      <c r="CQ32" s="27">
        <v>0</v>
      </c>
      <c r="CR32" s="27">
        <v>0</v>
      </c>
      <c r="CS32" s="27">
        <v>0</v>
      </c>
      <c r="CT32" s="27">
        <v>0</v>
      </c>
      <c r="CU32" s="27">
        <v>0</v>
      </c>
      <c r="CV32" s="27">
        <v>0</v>
      </c>
      <c r="CW32" s="27">
        <v>0</v>
      </c>
      <c r="CX32" s="27">
        <v>0</v>
      </c>
    </row>
    <row r="33" spans="1:102" ht="12.75" thickBot="1" x14ac:dyDescent="0.25">
      <c r="A33" s="1">
        <v>-9789.2626191508662</v>
      </c>
      <c r="B33" s="27">
        <v>0</v>
      </c>
      <c r="C33" s="29">
        <v>0</v>
      </c>
      <c r="D33" s="29">
        <v>0</v>
      </c>
      <c r="E33" s="1">
        <v>-970.41349929487944</v>
      </c>
      <c r="F33" s="27">
        <v>100</v>
      </c>
      <c r="G33" s="27">
        <v>100</v>
      </c>
      <c r="H33" s="27">
        <v>100</v>
      </c>
      <c r="I33" s="27">
        <v>100</v>
      </c>
      <c r="J33" s="27">
        <v>100</v>
      </c>
      <c r="K33" s="27">
        <v>100</v>
      </c>
      <c r="L33" s="27">
        <v>100</v>
      </c>
      <c r="M33" s="27">
        <v>100</v>
      </c>
      <c r="N33" s="27">
        <v>100</v>
      </c>
      <c r="O33" s="27">
        <v>100</v>
      </c>
      <c r="P33" s="27">
        <v>100</v>
      </c>
      <c r="Q33" s="46">
        <v>100</v>
      </c>
      <c r="R33" s="27">
        <v>100</v>
      </c>
      <c r="S33" s="27">
        <v>100</v>
      </c>
      <c r="T33" s="27">
        <v>100</v>
      </c>
      <c r="U33" s="27">
        <v>100</v>
      </c>
      <c r="V33" s="27">
        <v>100</v>
      </c>
      <c r="W33" s="27">
        <v>100</v>
      </c>
      <c r="X33" s="27">
        <v>100</v>
      </c>
      <c r="Y33" s="27">
        <v>100</v>
      </c>
      <c r="Z33" s="27">
        <v>100</v>
      </c>
      <c r="AA33" s="27">
        <v>100</v>
      </c>
      <c r="AB33" s="27">
        <v>100</v>
      </c>
      <c r="AC33" s="27">
        <v>100</v>
      </c>
      <c r="AD33" s="27">
        <v>100</v>
      </c>
      <c r="AE33" s="27">
        <v>100</v>
      </c>
      <c r="AF33" s="27">
        <v>100</v>
      </c>
      <c r="AG33" s="27">
        <v>100</v>
      </c>
      <c r="AH33" s="27">
        <v>100</v>
      </c>
      <c r="AI33" s="27">
        <v>100</v>
      </c>
      <c r="AJ33" s="27">
        <v>100</v>
      </c>
      <c r="AK33" s="27">
        <v>100</v>
      </c>
      <c r="AL33" s="27">
        <v>100</v>
      </c>
      <c r="AM33" s="27">
        <v>100</v>
      </c>
      <c r="AN33" s="1">
        <v>100</v>
      </c>
      <c r="AO33" s="1">
        <v>0</v>
      </c>
      <c r="AP33" s="27">
        <v>0</v>
      </c>
      <c r="AQ33" s="27">
        <v>0</v>
      </c>
      <c r="AR33" s="27">
        <v>0</v>
      </c>
      <c r="AS33" s="29">
        <v>0</v>
      </c>
      <c r="AT33" s="27">
        <v>0</v>
      </c>
      <c r="AU33" s="27">
        <v>0</v>
      </c>
      <c r="AV33" s="27">
        <v>0</v>
      </c>
      <c r="AW33" s="27">
        <v>0</v>
      </c>
      <c r="AX33" s="27">
        <v>0</v>
      </c>
      <c r="AY33" s="27">
        <v>0</v>
      </c>
      <c r="AZ33" s="27">
        <v>0</v>
      </c>
      <c r="BA33" s="27">
        <v>0</v>
      </c>
      <c r="BB33" s="27">
        <v>0</v>
      </c>
      <c r="BC33" s="29">
        <v>0</v>
      </c>
      <c r="BD33" s="27">
        <v>0</v>
      </c>
      <c r="BE33" s="27">
        <v>0</v>
      </c>
      <c r="BF33" s="27">
        <v>0</v>
      </c>
      <c r="BG33" s="27">
        <v>0</v>
      </c>
      <c r="BH33" s="27">
        <v>0</v>
      </c>
      <c r="BI33" s="27">
        <v>0</v>
      </c>
      <c r="BJ33" s="27">
        <v>0</v>
      </c>
      <c r="BK33" s="27">
        <v>0</v>
      </c>
      <c r="BL33" s="27">
        <v>0</v>
      </c>
      <c r="BM33" s="27">
        <v>0</v>
      </c>
      <c r="BN33" s="29">
        <v>0</v>
      </c>
      <c r="BO33" s="27">
        <v>0</v>
      </c>
      <c r="BP33" s="27">
        <v>0</v>
      </c>
      <c r="BQ33" s="27">
        <v>0</v>
      </c>
      <c r="BR33" s="27">
        <v>0</v>
      </c>
      <c r="BS33" s="27">
        <v>0</v>
      </c>
      <c r="BT33" s="27">
        <v>0</v>
      </c>
      <c r="BU33" s="27">
        <v>0</v>
      </c>
      <c r="BV33" s="27">
        <v>0</v>
      </c>
      <c r="BW33" s="27">
        <v>0</v>
      </c>
      <c r="BX33" s="27">
        <v>0</v>
      </c>
      <c r="BY33" s="27">
        <v>0</v>
      </c>
      <c r="BZ33" s="27">
        <v>0</v>
      </c>
      <c r="CA33" s="27">
        <v>0</v>
      </c>
      <c r="CB33" s="27">
        <v>0</v>
      </c>
      <c r="CC33" s="27">
        <v>0</v>
      </c>
      <c r="CD33" s="27">
        <v>0</v>
      </c>
      <c r="CE33" s="27">
        <v>0</v>
      </c>
      <c r="CF33" s="27">
        <v>0</v>
      </c>
      <c r="CG33" s="27">
        <v>0</v>
      </c>
      <c r="CH33" s="27">
        <v>0</v>
      </c>
      <c r="CI33" s="27">
        <v>0</v>
      </c>
      <c r="CJ33" s="27">
        <v>0</v>
      </c>
      <c r="CK33" s="27">
        <v>0</v>
      </c>
      <c r="CL33" s="27">
        <v>0</v>
      </c>
      <c r="CM33" s="27">
        <v>0</v>
      </c>
      <c r="CN33" s="27">
        <v>0</v>
      </c>
      <c r="CO33" s="27">
        <v>0</v>
      </c>
      <c r="CP33" s="27">
        <v>0</v>
      </c>
      <c r="CQ33" s="27">
        <v>0</v>
      </c>
      <c r="CR33" s="27">
        <v>0</v>
      </c>
      <c r="CS33" s="27">
        <v>0</v>
      </c>
      <c r="CT33" s="27">
        <v>0</v>
      </c>
      <c r="CU33" s="27">
        <v>0</v>
      </c>
      <c r="CV33" s="27">
        <v>0</v>
      </c>
      <c r="CW33" s="27">
        <v>0</v>
      </c>
      <c r="CX33" s="27">
        <v>0</v>
      </c>
    </row>
    <row r="34" spans="1:102" ht="12.75" thickBot="1" x14ac:dyDescent="0.25">
      <c r="A34" s="1">
        <v>-9763.2761184457449</v>
      </c>
      <c r="B34" s="29">
        <v>0</v>
      </c>
      <c r="C34" s="29">
        <v>0</v>
      </c>
      <c r="D34" s="27">
        <v>0</v>
      </c>
      <c r="E34" s="1">
        <v>-969.04781386993022</v>
      </c>
      <c r="F34" s="27">
        <v>100</v>
      </c>
      <c r="G34" s="27">
        <v>100</v>
      </c>
      <c r="H34" s="27">
        <v>100</v>
      </c>
      <c r="I34" s="27">
        <v>100</v>
      </c>
      <c r="J34" s="27">
        <v>100</v>
      </c>
      <c r="K34" s="27">
        <v>100</v>
      </c>
      <c r="L34" s="27">
        <v>100</v>
      </c>
      <c r="M34" s="27">
        <v>100</v>
      </c>
      <c r="N34" s="27">
        <v>100</v>
      </c>
      <c r="O34" s="27">
        <v>100</v>
      </c>
      <c r="P34" s="27">
        <v>100</v>
      </c>
      <c r="Q34" s="18">
        <v>100</v>
      </c>
      <c r="R34" s="28">
        <v>100</v>
      </c>
      <c r="S34" s="27">
        <v>100</v>
      </c>
      <c r="T34" s="27">
        <v>100</v>
      </c>
      <c r="U34" s="27">
        <v>100</v>
      </c>
      <c r="V34" s="27">
        <v>100</v>
      </c>
      <c r="W34" s="27">
        <v>100</v>
      </c>
      <c r="X34" s="27">
        <v>100</v>
      </c>
      <c r="Y34" s="27">
        <v>100</v>
      </c>
      <c r="Z34" s="27">
        <v>100</v>
      </c>
      <c r="AA34" s="27">
        <v>100</v>
      </c>
      <c r="AB34" s="27">
        <v>100</v>
      </c>
      <c r="AC34" s="27">
        <v>100</v>
      </c>
      <c r="AD34" s="27">
        <v>100</v>
      </c>
      <c r="AE34" s="27">
        <v>100</v>
      </c>
      <c r="AF34" s="27">
        <v>100</v>
      </c>
      <c r="AG34" s="27">
        <v>100</v>
      </c>
      <c r="AH34" s="27">
        <v>100</v>
      </c>
      <c r="AI34" s="27">
        <v>100</v>
      </c>
      <c r="AJ34" s="27">
        <v>100</v>
      </c>
      <c r="AK34" s="27">
        <v>100</v>
      </c>
      <c r="AL34" s="27">
        <v>100</v>
      </c>
      <c r="AM34" s="27">
        <v>100</v>
      </c>
      <c r="AN34" s="27">
        <v>0</v>
      </c>
      <c r="AO34" s="27">
        <v>0</v>
      </c>
      <c r="AP34" s="27">
        <v>0</v>
      </c>
      <c r="AQ34" s="27">
        <v>0</v>
      </c>
      <c r="AR34" s="27">
        <v>0</v>
      </c>
      <c r="AS34" s="29">
        <v>0</v>
      </c>
      <c r="AT34" s="27">
        <v>0</v>
      </c>
      <c r="AU34" s="27">
        <v>0</v>
      </c>
      <c r="AV34" s="27">
        <v>0</v>
      </c>
      <c r="AW34" s="27">
        <v>0</v>
      </c>
      <c r="AX34" s="27">
        <v>0</v>
      </c>
      <c r="AY34" s="27">
        <v>0</v>
      </c>
      <c r="AZ34" s="27">
        <v>0</v>
      </c>
      <c r="BA34" s="27">
        <v>0</v>
      </c>
      <c r="BB34" s="27">
        <v>0</v>
      </c>
      <c r="BC34" s="29">
        <v>0</v>
      </c>
      <c r="BD34" s="27">
        <v>0</v>
      </c>
      <c r="BE34" s="27">
        <v>0</v>
      </c>
      <c r="BF34" s="27">
        <v>0</v>
      </c>
      <c r="BG34" s="27">
        <v>0</v>
      </c>
      <c r="BH34" s="27">
        <v>0</v>
      </c>
      <c r="BI34" s="27">
        <v>0</v>
      </c>
      <c r="BJ34" s="27">
        <v>0</v>
      </c>
      <c r="BK34" s="27">
        <v>0</v>
      </c>
      <c r="BL34" s="27">
        <v>0</v>
      </c>
      <c r="BM34" s="27">
        <v>0</v>
      </c>
      <c r="BN34" s="29">
        <v>0</v>
      </c>
      <c r="BO34" s="27">
        <v>0</v>
      </c>
      <c r="BP34" s="27">
        <v>0</v>
      </c>
      <c r="BQ34" s="27">
        <v>0</v>
      </c>
      <c r="BR34" s="27">
        <v>0</v>
      </c>
      <c r="BS34" s="27">
        <v>0</v>
      </c>
      <c r="BT34" s="27">
        <v>0</v>
      </c>
      <c r="BU34" s="27">
        <v>0</v>
      </c>
      <c r="BV34" s="27">
        <v>0</v>
      </c>
      <c r="BW34" s="27">
        <v>0</v>
      </c>
      <c r="BX34" s="27">
        <v>0</v>
      </c>
      <c r="BY34" s="27">
        <v>0</v>
      </c>
      <c r="BZ34" s="27">
        <v>0</v>
      </c>
      <c r="CA34" s="27">
        <v>0</v>
      </c>
      <c r="CB34" s="27">
        <v>0</v>
      </c>
      <c r="CC34" s="27">
        <v>0</v>
      </c>
      <c r="CD34" s="27">
        <v>0</v>
      </c>
      <c r="CE34" s="27">
        <v>0</v>
      </c>
      <c r="CF34" s="27">
        <v>0</v>
      </c>
      <c r="CG34" s="27">
        <v>0</v>
      </c>
      <c r="CH34" s="27">
        <v>0</v>
      </c>
      <c r="CI34" s="27">
        <v>0</v>
      </c>
      <c r="CJ34" s="27">
        <v>0</v>
      </c>
      <c r="CK34" s="27">
        <v>0</v>
      </c>
      <c r="CL34" s="27">
        <v>0</v>
      </c>
      <c r="CM34" s="27">
        <v>0</v>
      </c>
      <c r="CN34" s="27">
        <v>0</v>
      </c>
      <c r="CO34" s="27">
        <v>0</v>
      </c>
      <c r="CP34" s="27">
        <v>0</v>
      </c>
      <c r="CQ34" s="27">
        <v>0</v>
      </c>
      <c r="CR34" s="27">
        <v>0</v>
      </c>
      <c r="CS34" s="27">
        <v>0</v>
      </c>
      <c r="CT34" s="27">
        <v>0</v>
      </c>
      <c r="CU34" s="27">
        <v>0</v>
      </c>
      <c r="CV34" s="27">
        <v>0</v>
      </c>
      <c r="CW34" s="27">
        <v>0</v>
      </c>
      <c r="CX34" s="27">
        <v>0</v>
      </c>
    </row>
    <row r="35" spans="1:102" x14ac:dyDescent="0.2">
      <c r="A35" s="1">
        <v>-9741.8435282649643</v>
      </c>
      <c r="B35" s="27">
        <v>0</v>
      </c>
      <c r="C35" s="27">
        <v>0</v>
      </c>
      <c r="D35" s="27">
        <v>0</v>
      </c>
      <c r="E35" s="1">
        <v>-970.41349929487944</v>
      </c>
      <c r="F35" s="27">
        <v>100</v>
      </c>
      <c r="G35" s="29">
        <v>100</v>
      </c>
      <c r="H35" s="27">
        <v>100</v>
      </c>
      <c r="I35" s="27">
        <v>100</v>
      </c>
      <c r="J35" s="27">
        <v>100</v>
      </c>
      <c r="K35" s="27">
        <v>100</v>
      </c>
      <c r="L35" s="27">
        <v>100</v>
      </c>
      <c r="M35" s="27">
        <v>100</v>
      </c>
      <c r="N35" s="27">
        <v>100</v>
      </c>
      <c r="O35" s="27">
        <v>100</v>
      </c>
      <c r="P35" s="27">
        <v>100</v>
      </c>
      <c r="Q35" s="47">
        <v>100</v>
      </c>
      <c r="R35" s="27">
        <v>100</v>
      </c>
      <c r="S35" s="27">
        <v>100</v>
      </c>
      <c r="T35" s="27">
        <v>100</v>
      </c>
      <c r="U35" s="27">
        <v>100</v>
      </c>
      <c r="V35" s="27">
        <v>100</v>
      </c>
      <c r="W35" s="27">
        <v>100</v>
      </c>
      <c r="X35" s="27">
        <v>100</v>
      </c>
      <c r="Y35" s="27">
        <v>100</v>
      </c>
      <c r="Z35" s="27">
        <v>100</v>
      </c>
      <c r="AA35" s="27">
        <v>100</v>
      </c>
      <c r="AB35" s="27">
        <v>100</v>
      </c>
      <c r="AC35" s="27">
        <v>100</v>
      </c>
      <c r="AD35" s="27">
        <v>100</v>
      </c>
      <c r="AE35" s="27">
        <v>100</v>
      </c>
      <c r="AF35" s="27">
        <v>100</v>
      </c>
      <c r="AG35" s="27">
        <v>100</v>
      </c>
      <c r="AH35" s="27">
        <v>100</v>
      </c>
      <c r="AI35" s="27">
        <v>100</v>
      </c>
      <c r="AJ35" s="27">
        <v>100</v>
      </c>
      <c r="AK35" s="27">
        <v>100</v>
      </c>
      <c r="AL35" s="27">
        <v>100</v>
      </c>
      <c r="AM35" s="27">
        <v>100</v>
      </c>
      <c r="AN35" s="1">
        <v>0</v>
      </c>
      <c r="AO35" s="1">
        <v>0</v>
      </c>
      <c r="AP35" s="27">
        <v>0</v>
      </c>
      <c r="AQ35" s="27">
        <v>0</v>
      </c>
      <c r="AR35" s="27">
        <v>0</v>
      </c>
      <c r="AS35" s="27">
        <v>0</v>
      </c>
      <c r="AT35" s="27">
        <v>0</v>
      </c>
      <c r="AU35" s="27">
        <v>0</v>
      </c>
      <c r="AV35" s="27">
        <v>0</v>
      </c>
      <c r="AW35" s="27">
        <v>0</v>
      </c>
      <c r="AX35" s="27">
        <v>0</v>
      </c>
      <c r="AY35" s="27">
        <v>0</v>
      </c>
      <c r="AZ35" s="27">
        <v>0</v>
      </c>
      <c r="BA35" s="27">
        <v>0</v>
      </c>
      <c r="BB35" s="27">
        <v>0</v>
      </c>
      <c r="BC35" s="27">
        <v>0</v>
      </c>
      <c r="BD35" s="27">
        <v>0</v>
      </c>
      <c r="BE35" s="27">
        <v>0</v>
      </c>
      <c r="BF35" s="27">
        <v>0</v>
      </c>
      <c r="BG35" s="27">
        <v>0</v>
      </c>
      <c r="BH35" s="27">
        <v>0</v>
      </c>
      <c r="BI35" s="27">
        <v>0</v>
      </c>
      <c r="BJ35" s="27">
        <v>0</v>
      </c>
      <c r="BK35" s="27">
        <v>0</v>
      </c>
      <c r="BL35" s="27">
        <v>0</v>
      </c>
      <c r="BM35" s="27">
        <v>0</v>
      </c>
      <c r="BN35" s="27">
        <v>0</v>
      </c>
      <c r="BO35" s="27">
        <v>0</v>
      </c>
      <c r="BP35" s="27">
        <v>0</v>
      </c>
      <c r="BQ35" s="27">
        <v>0</v>
      </c>
      <c r="BR35" s="27">
        <v>0</v>
      </c>
      <c r="BS35" s="27">
        <v>0</v>
      </c>
      <c r="BT35" s="27">
        <v>0</v>
      </c>
      <c r="BU35" s="27">
        <v>0</v>
      </c>
      <c r="BV35" s="27">
        <v>0</v>
      </c>
      <c r="BW35" s="27">
        <v>0</v>
      </c>
      <c r="BX35" s="27">
        <v>0</v>
      </c>
      <c r="BY35" s="27">
        <v>0</v>
      </c>
      <c r="BZ35" s="27">
        <v>0</v>
      </c>
      <c r="CA35" s="27">
        <v>0</v>
      </c>
      <c r="CB35" s="27">
        <v>0</v>
      </c>
      <c r="CC35" s="27">
        <v>0</v>
      </c>
      <c r="CD35" s="27">
        <v>0</v>
      </c>
      <c r="CE35" s="27">
        <v>0</v>
      </c>
      <c r="CF35" s="27">
        <v>0</v>
      </c>
      <c r="CG35" s="27">
        <v>0</v>
      </c>
      <c r="CH35" s="27">
        <v>0</v>
      </c>
      <c r="CI35" s="27">
        <v>0</v>
      </c>
      <c r="CJ35" s="27">
        <v>0</v>
      </c>
      <c r="CK35" s="27">
        <v>0</v>
      </c>
      <c r="CL35" s="27">
        <v>0</v>
      </c>
      <c r="CM35" s="27">
        <v>0</v>
      </c>
      <c r="CN35" s="27">
        <v>0</v>
      </c>
      <c r="CO35" s="27">
        <v>0</v>
      </c>
      <c r="CP35" s="27">
        <v>0</v>
      </c>
      <c r="CQ35" s="27">
        <v>0</v>
      </c>
      <c r="CR35" s="27">
        <v>0</v>
      </c>
      <c r="CS35" s="27">
        <v>0</v>
      </c>
      <c r="CT35" s="27">
        <v>0</v>
      </c>
      <c r="CU35" s="27">
        <v>0</v>
      </c>
      <c r="CV35" s="27">
        <v>0</v>
      </c>
      <c r="CW35" s="27">
        <v>0</v>
      </c>
      <c r="CX35" s="27">
        <v>0</v>
      </c>
    </row>
    <row r="36" spans="1:102" x14ac:dyDescent="0.2">
      <c r="A36" s="1">
        <v>-9726.1197692596397</v>
      </c>
      <c r="B36" s="27">
        <v>0</v>
      </c>
      <c r="C36" s="27">
        <v>0</v>
      </c>
      <c r="D36" s="27">
        <v>0</v>
      </c>
      <c r="E36" s="1">
        <v>-974.21055556972715</v>
      </c>
      <c r="F36" s="27">
        <v>100</v>
      </c>
      <c r="G36" s="29">
        <v>100</v>
      </c>
      <c r="H36" s="29">
        <v>100</v>
      </c>
      <c r="I36" s="27">
        <v>100</v>
      </c>
      <c r="J36" s="27">
        <v>100</v>
      </c>
      <c r="K36" s="27">
        <v>100</v>
      </c>
      <c r="L36" s="27">
        <v>100</v>
      </c>
      <c r="M36" s="27">
        <v>100</v>
      </c>
      <c r="N36" s="27">
        <v>100</v>
      </c>
      <c r="O36" s="27">
        <v>100</v>
      </c>
      <c r="P36" s="27">
        <v>100</v>
      </c>
      <c r="Q36" s="27">
        <v>100</v>
      </c>
      <c r="R36" s="27">
        <v>100</v>
      </c>
      <c r="S36" s="27">
        <v>100</v>
      </c>
      <c r="T36" s="27">
        <v>100</v>
      </c>
      <c r="U36" s="27">
        <v>100</v>
      </c>
      <c r="V36" s="27">
        <v>100</v>
      </c>
      <c r="W36" s="27">
        <v>100</v>
      </c>
      <c r="X36" s="27">
        <v>100</v>
      </c>
      <c r="Y36" s="27">
        <v>100</v>
      </c>
      <c r="Z36" s="27">
        <v>100</v>
      </c>
      <c r="AA36" s="27">
        <v>100</v>
      </c>
      <c r="AB36" s="27">
        <v>100</v>
      </c>
      <c r="AC36" s="27">
        <v>100</v>
      </c>
      <c r="AD36" s="27">
        <v>100</v>
      </c>
      <c r="AE36" s="27">
        <v>100</v>
      </c>
      <c r="AF36" s="27">
        <v>100</v>
      </c>
      <c r="AG36" s="27">
        <v>100</v>
      </c>
      <c r="AH36" s="27">
        <v>100</v>
      </c>
      <c r="AI36" s="27">
        <v>100</v>
      </c>
      <c r="AJ36" s="27">
        <v>100</v>
      </c>
      <c r="AK36" s="27">
        <v>100</v>
      </c>
      <c r="AL36" s="27">
        <v>100</v>
      </c>
      <c r="AM36" s="27">
        <v>100</v>
      </c>
      <c r="AN36" s="27">
        <v>0</v>
      </c>
      <c r="AO36" s="27">
        <v>0</v>
      </c>
      <c r="AP36" s="27">
        <v>0</v>
      </c>
      <c r="AQ36" s="27">
        <v>0</v>
      </c>
      <c r="AR36" s="27">
        <v>0</v>
      </c>
      <c r="AS36" s="27">
        <v>0</v>
      </c>
      <c r="AT36" s="27">
        <v>0</v>
      </c>
      <c r="AU36" s="27">
        <v>0</v>
      </c>
      <c r="AV36" s="27">
        <v>0</v>
      </c>
      <c r="AW36" s="27">
        <v>0</v>
      </c>
      <c r="AX36" s="27">
        <v>0</v>
      </c>
      <c r="AY36" s="27">
        <v>0</v>
      </c>
      <c r="AZ36" s="27">
        <v>0</v>
      </c>
      <c r="BA36" s="27">
        <v>0</v>
      </c>
      <c r="BB36" s="27">
        <v>0</v>
      </c>
      <c r="BC36" s="27">
        <v>0</v>
      </c>
      <c r="BD36" s="27">
        <v>0</v>
      </c>
      <c r="BE36" s="27">
        <v>0</v>
      </c>
      <c r="BF36" s="27">
        <v>0</v>
      </c>
      <c r="BG36" s="27">
        <v>0</v>
      </c>
      <c r="BH36" s="27">
        <v>0</v>
      </c>
      <c r="BI36" s="27">
        <v>0</v>
      </c>
      <c r="BJ36" s="27">
        <v>0</v>
      </c>
      <c r="BK36" s="27">
        <v>0</v>
      </c>
      <c r="BL36" s="27">
        <v>0</v>
      </c>
      <c r="BM36" s="27">
        <v>0</v>
      </c>
      <c r="BN36" s="27">
        <v>0</v>
      </c>
      <c r="BO36" s="27">
        <v>0</v>
      </c>
      <c r="BP36" s="27">
        <v>0</v>
      </c>
      <c r="BQ36" s="27">
        <v>0</v>
      </c>
      <c r="BR36" s="27">
        <v>0</v>
      </c>
      <c r="BS36" s="27">
        <v>0</v>
      </c>
      <c r="BT36" s="27">
        <v>0</v>
      </c>
      <c r="BU36" s="27">
        <v>0</v>
      </c>
      <c r="BV36" s="27">
        <v>0</v>
      </c>
      <c r="BW36" s="27">
        <v>0</v>
      </c>
      <c r="BX36" s="27">
        <v>0</v>
      </c>
      <c r="BY36" s="27">
        <v>0</v>
      </c>
      <c r="BZ36" s="27">
        <v>0</v>
      </c>
      <c r="CA36" s="27">
        <v>0</v>
      </c>
      <c r="CB36" s="27">
        <v>0</v>
      </c>
      <c r="CC36" s="27">
        <v>0</v>
      </c>
      <c r="CD36" s="27">
        <v>0</v>
      </c>
      <c r="CE36" s="27">
        <v>0</v>
      </c>
      <c r="CF36" s="27">
        <v>0</v>
      </c>
      <c r="CG36" s="27">
        <v>0</v>
      </c>
      <c r="CH36" s="27">
        <v>0</v>
      </c>
      <c r="CI36" s="27">
        <v>0</v>
      </c>
      <c r="CJ36" s="27">
        <v>0</v>
      </c>
      <c r="CK36" s="27">
        <v>0</v>
      </c>
      <c r="CL36" s="27">
        <v>0</v>
      </c>
      <c r="CM36" s="27">
        <v>0</v>
      </c>
      <c r="CN36" s="27">
        <v>0</v>
      </c>
      <c r="CO36" s="27">
        <v>0</v>
      </c>
      <c r="CP36" s="27">
        <v>0</v>
      </c>
      <c r="CQ36" s="27">
        <v>0</v>
      </c>
      <c r="CR36" s="27">
        <v>0</v>
      </c>
      <c r="CS36" s="27">
        <v>0</v>
      </c>
      <c r="CT36" s="27">
        <v>0</v>
      </c>
      <c r="CU36" s="27">
        <v>0</v>
      </c>
      <c r="CV36" s="27">
        <v>0</v>
      </c>
      <c r="CW36" s="27">
        <v>0</v>
      </c>
      <c r="CX36" s="27">
        <v>0</v>
      </c>
    </row>
    <row r="37" spans="1:102" x14ac:dyDescent="0.2">
      <c r="A37" s="1">
        <v>-9715.2156062036065</v>
      </c>
      <c r="B37" s="27">
        <v>0</v>
      </c>
      <c r="C37" s="27">
        <v>0</v>
      </c>
      <c r="D37" s="27">
        <v>0</v>
      </c>
      <c r="E37" s="1">
        <v>-983.81471862576132</v>
      </c>
      <c r="F37" s="27">
        <v>100</v>
      </c>
      <c r="G37" s="29">
        <v>100</v>
      </c>
      <c r="H37" s="29">
        <v>100</v>
      </c>
      <c r="I37" s="29">
        <v>100</v>
      </c>
      <c r="J37" s="27">
        <v>100</v>
      </c>
      <c r="K37" s="27">
        <v>100</v>
      </c>
      <c r="L37" s="27">
        <v>100</v>
      </c>
      <c r="M37" s="27">
        <v>100</v>
      </c>
      <c r="N37" s="27">
        <v>100</v>
      </c>
      <c r="O37" s="27">
        <v>100</v>
      </c>
      <c r="P37" s="27">
        <v>100</v>
      </c>
      <c r="Q37" s="27">
        <v>100</v>
      </c>
      <c r="R37" s="27">
        <v>100</v>
      </c>
      <c r="S37" s="27">
        <v>100</v>
      </c>
      <c r="T37" s="27">
        <v>100</v>
      </c>
      <c r="U37" s="27">
        <v>100</v>
      </c>
      <c r="V37" s="27">
        <v>100</v>
      </c>
      <c r="W37" s="27">
        <v>100</v>
      </c>
      <c r="X37" s="27">
        <v>100</v>
      </c>
      <c r="Y37" s="27">
        <v>100</v>
      </c>
      <c r="Z37" s="27">
        <v>100</v>
      </c>
      <c r="AA37" s="27">
        <v>100</v>
      </c>
      <c r="AB37" s="27">
        <v>100</v>
      </c>
      <c r="AC37" s="27">
        <v>100</v>
      </c>
      <c r="AD37" s="27">
        <v>100</v>
      </c>
      <c r="AE37" s="27">
        <v>100</v>
      </c>
      <c r="AF37" s="27">
        <v>100</v>
      </c>
      <c r="AG37" s="27">
        <v>100</v>
      </c>
      <c r="AH37" s="27">
        <v>100</v>
      </c>
      <c r="AI37" s="27">
        <v>100</v>
      </c>
      <c r="AJ37" s="27">
        <v>100</v>
      </c>
      <c r="AK37" s="27">
        <v>100</v>
      </c>
      <c r="AL37" s="27">
        <v>100</v>
      </c>
      <c r="AM37" s="27">
        <v>100</v>
      </c>
      <c r="AN37" s="1">
        <v>0</v>
      </c>
      <c r="AO37" s="1">
        <v>0</v>
      </c>
      <c r="AP37" s="27">
        <v>0</v>
      </c>
      <c r="AQ37" s="27">
        <v>0</v>
      </c>
      <c r="AR37" s="27">
        <v>0</v>
      </c>
      <c r="AS37" s="27">
        <v>0</v>
      </c>
      <c r="AT37" s="27">
        <v>0</v>
      </c>
      <c r="AU37" s="27">
        <v>0</v>
      </c>
      <c r="AV37" s="27">
        <v>0</v>
      </c>
      <c r="AW37" s="27">
        <v>0</v>
      </c>
      <c r="AX37" s="27">
        <v>0</v>
      </c>
      <c r="AY37" s="27">
        <v>0</v>
      </c>
      <c r="AZ37" s="27">
        <v>0</v>
      </c>
      <c r="BA37" s="27">
        <v>0</v>
      </c>
      <c r="BB37" s="27">
        <v>0</v>
      </c>
      <c r="BC37" s="27">
        <v>0</v>
      </c>
      <c r="BD37" s="27">
        <v>0</v>
      </c>
      <c r="BE37" s="27">
        <v>0</v>
      </c>
      <c r="BF37" s="27">
        <v>0</v>
      </c>
      <c r="BG37" s="27">
        <v>0</v>
      </c>
      <c r="BH37" s="27">
        <v>0</v>
      </c>
      <c r="BI37" s="27">
        <v>0</v>
      </c>
      <c r="BJ37" s="27">
        <v>0</v>
      </c>
      <c r="BK37" s="27">
        <v>0</v>
      </c>
      <c r="BL37" s="27">
        <v>0</v>
      </c>
      <c r="BM37" s="27">
        <v>0</v>
      </c>
      <c r="BN37" s="27">
        <v>0</v>
      </c>
      <c r="BO37" s="27">
        <v>0</v>
      </c>
      <c r="BP37" s="27">
        <v>0</v>
      </c>
      <c r="BQ37" s="27">
        <v>0</v>
      </c>
      <c r="BR37" s="27">
        <v>0</v>
      </c>
      <c r="BS37" s="27">
        <v>0</v>
      </c>
      <c r="BT37" s="27">
        <v>0</v>
      </c>
      <c r="BU37" s="27">
        <v>0</v>
      </c>
      <c r="BV37" s="27">
        <v>0</v>
      </c>
      <c r="BW37" s="27">
        <v>0</v>
      </c>
      <c r="BX37" s="27">
        <v>0</v>
      </c>
      <c r="BY37" s="27">
        <v>0</v>
      </c>
      <c r="BZ37" s="27">
        <v>0</v>
      </c>
      <c r="CA37" s="27">
        <v>0</v>
      </c>
      <c r="CB37" s="27">
        <v>0</v>
      </c>
      <c r="CC37" s="27">
        <v>0</v>
      </c>
      <c r="CD37" s="27">
        <v>0</v>
      </c>
      <c r="CE37" s="27">
        <v>0</v>
      </c>
      <c r="CF37" s="27">
        <v>0</v>
      </c>
      <c r="CG37" s="27">
        <v>0</v>
      </c>
      <c r="CH37" s="27">
        <v>0</v>
      </c>
      <c r="CI37" s="27">
        <v>0</v>
      </c>
      <c r="CJ37" s="27">
        <v>0</v>
      </c>
      <c r="CK37" s="27">
        <v>0</v>
      </c>
      <c r="CL37" s="27">
        <v>0</v>
      </c>
      <c r="CM37" s="27">
        <v>0</v>
      </c>
      <c r="CN37" s="27">
        <v>0</v>
      </c>
      <c r="CO37" s="27">
        <v>0</v>
      </c>
      <c r="CP37" s="27">
        <v>0</v>
      </c>
      <c r="CQ37" s="27">
        <v>0</v>
      </c>
      <c r="CR37" s="27">
        <v>0</v>
      </c>
      <c r="CS37" s="27">
        <v>0</v>
      </c>
      <c r="CT37" s="27">
        <v>0</v>
      </c>
      <c r="CU37" s="27">
        <v>0</v>
      </c>
      <c r="CV37" s="27">
        <v>0</v>
      </c>
      <c r="CW37" s="27">
        <v>0</v>
      </c>
      <c r="CX37" s="27">
        <v>0</v>
      </c>
    </row>
    <row r="38" spans="1:102" ht="12.75" thickBot="1" x14ac:dyDescent="0.25">
      <c r="A38" s="28">
        <v>-9711.4185499287596</v>
      </c>
      <c r="B38" s="29">
        <v>0</v>
      </c>
      <c r="C38" s="29">
        <v>0</v>
      </c>
      <c r="D38" s="29">
        <v>0</v>
      </c>
      <c r="E38" s="1">
        <v>-994</v>
      </c>
      <c r="F38" s="27">
        <v>100</v>
      </c>
      <c r="G38" s="29">
        <v>100</v>
      </c>
      <c r="H38" s="29">
        <v>100</v>
      </c>
      <c r="I38" s="29">
        <v>100</v>
      </c>
      <c r="J38" s="29">
        <v>100</v>
      </c>
      <c r="K38" s="29">
        <v>100</v>
      </c>
      <c r="L38" s="29">
        <v>100</v>
      </c>
      <c r="M38" s="29">
        <v>100</v>
      </c>
      <c r="N38" s="29">
        <v>100</v>
      </c>
      <c r="O38" s="29">
        <v>100</v>
      </c>
      <c r="P38" s="29">
        <v>100</v>
      </c>
      <c r="Q38" s="29">
        <v>100</v>
      </c>
      <c r="R38" s="29">
        <v>100</v>
      </c>
      <c r="S38" s="29">
        <v>100</v>
      </c>
      <c r="T38" s="29">
        <v>100</v>
      </c>
      <c r="U38" s="29">
        <v>100</v>
      </c>
      <c r="V38" s="29">
        <v>100</v>
      </c>
      <c r="W38" s="29">
        <v>100</v>
      </c>
      <c r="X38" s="29">
        <v>100</v>
      </c>
      <c r="Y38" s="29">
        <v>100</v>
      </c>
      <c r="Z38" s="29">
        <v>100</v>
      </c>
      <c r="AA38" s="29">
        <v>82.150670939904927</v>
      </c>
      <c r="AB38" s="29">
        <v>18.7852813742386</v>
      </c>
      <c r="AC38" s="29">
        <v>0.9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U38" s="29">
        <v>0</v>
      </c>
      <c r="AV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  <c r="BC38" s="29">
        <v>0</v>
      </c>
      <c r="BD38" s="29">
        <v>0</v>
      </c>
      <c r="BE38" s="29">
        <v>0</v>
      </c>
      <c r="BF38" s="29">
        <v>0</v>
      </c>
      <c r="BG38" s="29">
        <v>0</v>
      </c>
      <c r="BH38" s="29">
        <v>0</v>
      </c>
      <c r="BI38" s="29">
        <v>0</v>
      </c>
      <c r="BJ38" s="29">
        <v>0</v>
      </c>
      <c r="BK38" s="29">
        <v>0</v>
      </c>
      <c r="BL38" s="29">
        <v>0</v>
      </c>
      <c r="BM38" s="29">
        <v>0</v>
      </c>
      <c r="BN38" s="29">
        <v>0</v>
      </c>
      <c r="BO38" s="29">
        <v>0</v>
      </c>
      <c r="BP38" s="29">
        <v>0</v>
      </c>
      <c r="BQ38" s="29">
        <v>0</v>
      </c>
      <c r="BR38" s="29">
        <v>0</v>
      </c>
      <c r="BS38" s="29">
        <v>0</v>
      </c>
      <c r="BT38" s="29">
        <v>0</v>
      </c>
      <c r="BU38" s="29">
        <v>0</v>
      </c>
      <c r="BV38" s="29">
        <v>0</v>
      </c>
      <c r="BW38" s="29">
        <v>0</v>
      </c>
      <c r="BX38" s="29">
        <v>0</v>
      </c>
      <c r="BY38" s="29">
        <v>0</v>
      </c>
      <c r="BZ38" s="29">
        <v>0</v>
      </c>
      <c r="CA38" s="29">
        <v>0</v>
      </c>
      <c r="CB38" s="29">
        <v>0</v>
      </c>
      <c r="CC38" s="29">
        <v>0</v>
      </c>
      <c r="CD38" s="29">
        <v>0</v>
      </c>
      <c r="CE38" s="29">
        <v>0</v>
      </c>
      <c r="CF38" s="29">
        <v>0</v>
      </c>
      <c r="CG38" s="29">
        <v>0</v>
      </c>
      <c r="CH38" s="29">
        <v>0</v>
      </c>
      <c r="CI38" s="29">
        <v>0</v>
      </c>
      <c r="CJ38" s="29">
        <v>0</v>
      </c>
      <c r="CK38" s="29">
        <v>0</v>
      </c>
      <c r="CL38" s="29">
        <v>0</v>
      </c>
      <c r="CM38" s="29">
        <v>0</v>
      </c>
      <c r="CN38" s="29">
        <v>0</v>
      </c>
      <c r="CO38" s="29">
        <v>0</v>
      </c>
      <c r="CP38" s="29">
        <v>0</v>
      </c>
      <c r="CQ38" s="29">
        <v>0</v>
      </c>
      <c r="CR38" s="29">
        <v>0</v>
      </c>
      <c r="CS38" s="29">
        <v>0</v>
      </c>
      <c r="CT38" s="29">
        <v>0</v>
      </c>
      <c r="CU38" s="29">
        <v>0</v>
      </c>
      <c r="CV38" s="29">
        <v>0</v>
      </c>
      <c r="CW38" s="29">
        <v>0</v>
      </c>
      <c r="CX38" s="29">
        <v>0</v>
      </c>
    </row>
    <row r="39" spans="1:102" ht="12.75" thickBot="1" x14ac:dyDescent="0.25">
      <c r="A39" s="1">
        <v>-9710.0528645038103</v>
      </c>
      <c r="B39" s="1">
        <v>0</v>
      </c>
      <c r="C39" s="1">
        <v>0</v>
      </c>
      <c r="D39" s="1">
        <v>0</v>
      </c>
      <c r="E39" s="1">
        <v>-1000</v>
      </c>
      <c r="F39" s="27">
        <v>100</v>
      </c>
      <c r="G39" s="1">
        <v>100</v>
      </c>
      <c r="H39" s="1">
        <v>100</v>
      </c>
      <c r="I39" s="1">
        <v>100</v>
      </c>
      <c r="J39" s="1">
        <v>100</v>
      </c>
      <c r="K39" s="1">
        <v>100</v>
      </c>
      <c r="L39" s="1">
        <v>100</v>
      </c>
      <c r="M39" s="1">
        <v>100</v>
      </c>
      <c r="N39" s="1">
        <v>100</v>
      </c>
      <c r="O39" s="1">
        <v>100</v>
      </c>
      <c r="P39" s="1">
        <v>100</v>
      </c>
      <c r="Q39" s="1">
        <v>100</v>
      </c>
      <c r="R39" s="1">
        <v>100</v>
      </c>
      <c r="S39" s="1">
        <v>100</v>
      </c>
      <c r="T39" s="1">
        <v>100</v>
      </c>
      <c r="U39" s="1">
        <v>100</v>
      </c>
      <c r="V39" s="1">
        <v>100</v>
      </c>
      <c r="W39" s="1">
        <v>100</v>
      </c>
      <c r="X39" s="1">
        <v>100</v>
      </c>
      <c r="Y39" s="1">
        <v>100</v>
      </c>
      <c r="Z39" s="1">
        <v>100</v>
      </c>
      <c r="AA39" s="1">
        <v>49.607315985291947</v>
      </c>
      <c r="AB39" s="1">
        <v>7.9284271247462001</v>
      </c>
      <c r="AC39" s="12">
        <v>0</v>
      </c>
      <c r="AD39" s="1">
        <v>0</v>
      </c>
      <c r="AE39" s="1">
        <v>0</v>
      </c>
      <c r="AF39" s="1">
        <v>0</v>
      </c>
      <c r="AG39" s="29">
        <v>0</v>
      </c>
      <c r="AH39" s="1">
        <v>0</v>
      </c>
      <c r="AI39" s="1">
        <v>0</v>
      </c>
      <c r="AJ39" s="1">
        <v>0</v>
      </c>
      <c r="AK39" s="18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8">
        <v>0</v>
      </c>
      <c r="AR39" s="2">
        <v>0</v>
      </c>
      <c r="AS39" s="1">
        <v>0</v>
      </c>
      <c r="AT39" s="2">
        <v>0</v>
      </c>
      <c r="AU39" s="15">
        <v>0</v>
      </c>
      <c r="AV39" s="15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1">
        <v>0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2">
        <v>0</v>
      </c>
      <c r="BJ39" s="2">
        <v>0</v>
      </c>
      <c r="BK39" s="2">
        <v>0</v>
      </c>
      <c r="BL39" s="2">
        <v>0</v>
      </c>
      <c r="BM39" s="2">
        <v>0</v>
      </c>
      <c r="BN39" s="1">
        <v>0</v>
      </c>
      <c r="BO39" s="2">
        <v>0</v>
      </c>
      <c r="BP39" s="2">
        <v>0</v>
      </c>
      <c r="BQ39" s="2">
        <v>0</v>
      </c>
      <c r="BR39" s="2">
        <v>0</v>
      </c>
      <c r="BS39" s="2">
        <v>0</v>
      </c>
      <c r="BT39" s="2">
        <v>0</v>
      </c>
      <c r="BU39" s="2">
        <v>0</v>
      </c>
      <c r="BV39" s="2">
        <v>0</v>
      </c>
      <c r="BW39" s="2">
        <v>0</v>
      </c>
      <c r="BX39" s="2">
        <v>0</v>
      </c>
      <c r="BY39" s="9">
        <v>0</v>
      </c>
      <c r="BZ39" s="22">
        <v>0</v>
      </c>
      <c r="CA39" s="22">
        <v>0</v>
      </c>
      <c r="CB39" s="22">
        <v>0</v>
      </c>
      <c r="CC39" s="22">
        <v>0</v>
      </c>
      <c r="CD39" s="22">
        <v>0</v>
      </c>
      <c r="CE39" s="22">
        <v>0</v>
      </c>
      <c r="CF39" s="22">
        <v>0</v>
      </c>
      <c r="CG39" s="22">
        <v>0</v>
      </c>
      <c r="CH39" s="22">
        <v>0</v>
      </c>
      <c r="CI39" s="9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</row>
    <row r="40" spans="1:102" x14ac:dyDescent="0.2">
      <c r="A40" s="1">
        <v>-9711.4185499287596</v>
      </c>
      <c r="B40" s="1">
        <v>0</v>
      </c>
      <c r="C40" s="1">
        <v>0</v>
      </c>
      <c r="D40" s="1">
        <v>0</v>
      </c>
      <c r="E40" s="1">
        <v>-1000</v>
      </c>
      <c r="F40" s="27">
        <v>100</v>
      </c>
      <c r="G40" s="1">
        <v>100</v>
      </c>
      <c r="H40" s="1">
        <v>100</v>
      </c>
      <c r="I40" s="1">
        <v>100</v>
      </c>
      <c r="J40" s="1">
        <v>100</v>
      </c>
      <c r="K40" s="1">
        <v>100</v>
      </c>
      <c r="L40" s="1">
        <v>100</v>
      </c>
      <c r="M40" s="1">
        <v>100</v>
      </c>
      <c r="N40" s="1">
        <v>100</v>
      </c>
      <c r="O40" s="1">
        <v>100</v>
      </c>
      <c r="P40" s="1">
        <v>100</v>
      </c>
      <c r="Q40" s="1">
        <v>100</v>
      </c>
      <c r="R40" s="1">
        <v>100</v>
      </c>
      <c r="S40" s="1">
        <v>100</v>
      </c>
      <c r="T40" s="1">
        <v>100</v>
      </c>
      <c r="U40" s="1">
        <v>100</v>
      </c>
      <c r="V40" s="1">
        <v>100</v>
      </c>
      <c r="W40" s="1">
        <v>100</v>
      </c>
      <c r="X40" s="1">
        <v>100</v>
      </c>
      <c r="Y40" s="1">
        <v>100</v>
      </c>
      <c r="Z40" s="1">
        <v>81.064884502278048</v>
      </c>
      <c r="AA40" s="1">
        <v>23.399494936611699</v>
      </c>
      <c r="AB40" s="1">
        <v>2</v>
      </c>
      <c r="AC40" s="12">
        <v>0</v>
      </c>
      <c r="AD40" s="1">
        <v>0</v>
      </c>
      <c r="AE40" s="1">
        <v>0</v>
      </c>
      <c r="AF40" s="1">
        <v>0</v>
      </c>
      <c r="AG40" s="29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2">
        <v>0</v>
      </c>
      <c r="AP40" s="2">
        <v>0</v>
      </c>
      <c r="AQ40" s="28">
        <v>0</v>
      </c>
      <c r="AR40" s="2">
        <v>0</v>
      </c>
      <c r="AS40" s="1">
        <v>0</v>
      </c>
      <c r="AT40" s="2">
        <v>0</v>
      </c>
      <c r="AU40" s="15">
        <v>0</v>
      </c>
      <c r="AV40" s="15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1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>
        <v>0</v>
      </c>
      <c r="BK40" s="2">
        <v>0</v>
      </c>
      <c r="BL40" s="2">
        <v>0</v>
      </c>
      <c r="BM40" s="2">
        <v>0</v>
      </c>
      <c r="BN40" s="1">
        <v>0</v>
      </c>
      <c r="BO40" s="2">
        <v>0</v>
      </c>
      <c r="BP40" s="2">
        <v>0</v>
      </c>
      <c r="BQ40" s="2">
        <v>0</v>
      </c>
      <c r="BR40" s="2">
        <v>0</v>
      </c>
      <c r="BS40" s="2">
        <v>0</v>
      </c>
      <c r="BT40" s="2">
        <v>0</v>
      </c>
      <c r="BU40" s="2">
        <v>0</v>
      </c>
      <c r="BV40" s="2">
        <v>0</v>
      </c>
      <c r="BW40" s="2">
        <v>0</v>
      </c>
      <c r="BX40" s="2">
        <v>0</v>
      </c>
      <c r="BY40" s="11">
        <v>0</v>
      </c>
      <c r="BZ40" s="2">
        <v>0</v>
      </c>
      <c r="CA40" s="2">
        <v>0</v>
      </c>
      <c r="CB40" s="2">
        <v>0</v>
      </c>
      <c r="CC40" s="2">
        <v>0</v>
      </c>
      <c r="CD40" s="2">
        <v>0</v>
      </c>
      <c r="CE40" s="2">
        <v>0</v>
      </c>
      <c r="CF40" s="2">
        <v>0</v>
      </c>
      <c r="CG40" s="2">
        <v>0</v>
      </c>
      <c r="CH40" s="2">
        <v>0</v>
      </c>
      <c r="CI40" s="1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</row>
    <row r="41" spans="1:102" x14ac:dyDescent="0.2">
      <c r="A41" s="1">
        <v>-9715.2156062036065</v>
      </c>
      <c r="B41" s="1">
        <v>0</v>
      </c>
      <c r="C41" s="1">
        <v>0</v>
      </c>
      <c r="D41" s="1">
        <v>0</v>
      </c>
      <c r="E41" s="1">
        <v>-1000</v>
      </c>
      <c r="F41" s="27">
        <v>100</v>
      </c>
      <c r="G41" s="1">
        <v>100</v>
      </c>
      <c r="H41" s="1">
        <v>100</v>
      </c>
      <c r="I41" s="1">
        <v>100</v>
      </c>
      <c r="J41" s="1">
        <v>100</v>
      </c>
      <c r="K41" s="1">
        <v>100</v>
      </c>
      <c r="L41" s="1">
        <v>100</v>
      </c>
      <c r="M41" s="1">
        <v>100</v>
      </c>
      <c r="N41" s="1">
        <v>100</v>
      </c>
      <c r="O41" s="1">
        <v>100</v>
      </c>
      <c r="P41" s="1">
        <v>100</v>
      </c>
      <c r="Q41" s="1">
        <v>100</v>
      </c>
      <c r="R41" s="1">
        <v>100</v>
      </c>
      <c r="S41" s="1">
        <v>100</v>
      </c>
      <c r="T41" s="1">
        <v>100</v>
      </c>
      <c r="U41" s="1">
        <v>100</v>
      </c>
      <c r="V41" s="1">
        <v>100</v>
      </c>
      <c r="W41" s="1">
        <v>100</v>
      </c>
      <c r="X41" s="1">
        <v>100</v>
      </c>
      <c r="Y41" s="1">
        <v>100</v>
      </c>
      <c r="Z41" s="1">
        <v>36.370562748477198</v>
      </c>
      <c r="AA41" s="1">
        <v>6.6970562748477196</v>
      </c>
      <c r="AB41" s="1">
        <v>0</v>
      </c>
      <c r="AC41" s="12">
        <v>0</v>
      </c>
      <c r="AD41" s="1">
        <v>0</v>
      </c>
      <c r="AE41" s="1">
        <v>0</v>
      </c>
      <c r="AF41" s="1">
        <v>0</v>
      </c>
      <c r="AG41" s="29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2">
        <v>0</v>
      </c>
      <c r="AP41" s="2">
        <v>0</v>
      </c>
      <c r="AQ41" s="28">
        <v>0</v>
      </c>
      <c r="AR41" s="2">
        <v>0</v>
      </c>
      <c r="AS41" s="1">
        <v>0</v>
      </c>
      <c r="AT41" s="2">
        <v>0</v>
      </c>
      <c r="AU41" s="15">
        <v>0</v>
      </c>
      <c r="AV41" s="15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1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1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11">
        <v>0</v>
      </c>
      <c r="BZ41" s="2">
        <v>0</v>
      </c>
      <c r="CA41" s="2">
        <v>0</v>
      </c>
      <c r="CB41" s="2">
        <v>0</v>
      </c>
      <c r="CC41" s="2">
        <v>0</v>
      </c>
      <c r="CD41" s="2">
        <v>0</v>
      </c>
      <c r="CE41" s="2">
        <v>0</v>
      </c>
      <c r="CF41" s="2">
        <v>0</v>
      </c>
      <c r="CG41" s="2">
        <v>0</v>
      </c>
      <c r="CH41" s="2">
        <v>0</v>
      </c>
      <c r="CI41" s="1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</row>
    <row r="42" spans="1:102" x14ac:dyDescent="0.2">
      <c r="A42" s="1">
        <v>-9726.1197692596397</v>
      </c>
      <c r="B42" s="1">
        <v>0</v>
      </c>
      <c r="C42" s="1">
        <v>0</v>
      </c>
      <c r="D42" s="1">
        <v>0</v>
      </c>
      <c r="E42" s="1">
        <v>-1000</v>
      </c>
      <c r="F42" s="27">
        <v>100</v>
      </c>
      <c r="G42" s="1">
        <v>100</v>
      </c>
      <c r="H42" s="1">
        <v>100</v>
      </c>
      <c r="I42" s="1">
        <v>100</v>
      </c>
      <c r="J42" s="1">
        <v>100</v>
      </c>
      <c r="K42" s="1">
        <v>100</v>
      </c>
      <c r="L42" s="1">
        <v>100</v>
      </c>
      <c r="M42" s="1">
        <v>100</v>
      </c>
      <c r="N42" s="1">
        <v>100</v>
      </c>
      <c r="O42" s="1">
        <v>100</v>
      </c>
      <c r="P42" s="1">
        <v>100</v>
      </c>
      <c r="Q42" s="1">
        <v>100</v>
      </c>
      <c r="R42" s="1">
        <v>100</v>
      </c>
      <c r="S42" s="1">
        <v>100</v>
      </c>
      <c r="T42" s="1">
        <v>100</v>
      </c>
      <c r="U42" s="1">
        <v>100</v>
      </c>
      <c r="V42" s="1">
        <v>100</v>
      </c>
      <c r="W42" s="1">
        <v>100</v>
      </c>
      <c r="X42" s="1">
        <v>100</v>
      </c>
      <c r="Y42" s="1">
        <v>42.198989873223411</v>
      </c>
      <c r="Z42" s="1">
        <v>10.95979797464468</v>
      </c>
      <c r="AA42" s="1">
        <v>1.2000000000000002</v>
      </c>
      <c r="AB42" s="1">
        <v>0</v>
      </c>
      <c r="AC42" s="12">
        <v>0</v>
      </c>
      <c r="AD42" s="1">
        <v>0</v>
      </c>
      <c r="AE42" s="1">
        <v>0</v>
      </c>
      <c r="AF42" s="1">
        <v>0</v>
      </c>
      <c r="AG42" s="29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2">
        <v>0</v>
      </c>
      <c r="AP42" s="2">
        <v>0</v>
      </c>
      <c r="AQ42" s="28">
        <v>0</v>
      </c>
      <c r="AR42" s="2">
        <v>0</v>
      </c>
      <c r="AS42" s="1">
        <v>0</v>
      </c>
      <c r="AT42" s="2">
        <v>0</v>
      </c>
      <c r="AU42" s="15">
        <v>0</v>
      </c>
      <c r="AV42" s="15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1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1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0</v>
      </c>
      <c r="BX42" s="2">
        <v>0</v>
      </c>
      <c r="BY42" s="11">
        <v>0</v>
      </c>
      <c r="BZ42" s="2">
        <v>0</v>
      </c>
      <c r="CA42" s="2">
        <v>0</v>
      </c>
      <c r="CB42" s="2">
        <v>0</v>
      </c>
      <c r="CC42" s="2">
        <v>0</v>
      </c>
      <c r="CD42" s="2">
        <v>0</v>
      </c>
      <c r="CE42" s="2">
        <v>0</v>
      </c>
      <c r="CF42" s="2">
        <v>0</v>
      </c>
      <c r="CG42" s="2">
        <v>0</v>
      </c>
      <c r="CH42" s="2">
        <v>0</v>
      </c>
      <c r="CI42" s="1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</row>
    <row r="43" spans="1:102" x14ac:dyDescent="0.2">
      <c r="A43" s="1">
        <v>-9741.8435282649643</v>
      </c>
      <c r="B43" s="1">
        <v>0</v>
      </c>
      <c r="C43" s="1">
        <v>0</v>
      </c>
      <c r="D43" s="1">
        <v>100</v>
      </c>
      <c r="E43" s="1">
        <v>100</v>
      </c>
      <c r="F43" s="1">
        <v>100</v>
      </c>
      <c r="G43" s="1">
        <v>100</v>
      </c>
      <c r="H43" s="1">
        <v>100</v>
      </c>
      <c r="I43" s="1">
        <v>100</v>
      </c>
      <c r="J43" s="1">
        <v>100</v>
      </c>
      <c r="K43" s="1">
        <v>100</v>
      </c>
      <c r="L43" s="1">
        <v>100</v>
      </c>
      <c r="M43" s="1">
        <v>100</v>
      </c>
      <c r="N43" s="1">
        <v>100</v>
      </c>
      <c r="O43" s="1">
        <v>100</v>
      </c>
      <c r="P43" s="1">
        <v>100</v>
      </c>
      <c r="Q43" s="1">
        <v>100</v>
      </c>
      <c r="R43" s="1">
        <v>100</v>
      </c>
      <c r="S43" s="1">
        <v>100</v>
      </c>
      <c r="T43" s="1">
        <v>100</v>
      </c>
      <c r="U43" s="1">
        <v>100</v>
      </c>
      <c r="V43" s="1">
        <v>100</v>
      </c>
      <c r="W43" s="1">
        <v>81.064884502278048</v>
      </c>
      <c r="X43" s="1">
        <v>36.370562748477205</v>
      </c>
      <c r="Y43" s="1">
        <v>10.95979797464468</v>
      </c>
      <c r="Z43" s="1">
        <v>1.6</v>
      </c>
      <c r="AA43" s="1">
        <v>0</v>
      </c>
      <c r="AB43" s="1">
        <v>0</v>
      </c>
      <c r="AC43" s="12">
        <v>0</v>
      </c>
      <c r="AD43" s="1">
        <v>0</v>
      </c>
      <c r="AE43" s="1">
        <v>0</v>
      </c>
      <c r="AF43" s="1">
        <v>0</v>
      </c>
      <c r="AG43" s="29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2">
        <v>0</v>
      </c>
      <c r="AP43" s="2">
        <v>0</v>
      </c>
      <c r="AQ43" s="28">
        <v>0</v>
      </c>
      <c r="AR43" s="2">
        <v>0</v>
      </c>
      <c r="AS43" s="1">
        <v>0</v>
      </c>
      <c r="AT43" s="2">
        <v>0</v>
      </c>
      <c r="AU43" s="15">
        <v>0</v>
      </c>
      <c r="AV43" s="15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1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1">
        <v>0</v>
      </c>
      <c r="BO43" s="2">
        <v>0</v>
      </c>
      <c r="BP43" s="2">
        <v>0</v>
      </c>
      <c r="BQ43" s="2">
        <v>0</v>
      </c>
      <c r="BR43" s="2">
        <v>0</v>
      </c>
      <c r="BS43" s="2">
        <v>0</v>
      </c>
      <c r="BT43" s="2">
        <v>0</v>
      </c>
      <c r="BU43" s="2">
        <v>0</v>
      </c>
      <c r="BV43" s="2">
        <v>0</v>
      </c>
      <c r="BW43" s="2">
        <v>0</v>
      </c>
      <c r="BX43" s="2">
        <v>0</v>
      </c>
      <c r="BY43" s="11">
        <v>0</v>
      </c>
      <c r="BZ43" s="2">
        <v>0</v>
      </c>
      <c r="CA43" s="2">
        <v>0</v>
      </c>
      <c r="CB43" s="2">
        <v>0</v>
      </c>
      <c r="CC43" s="2">
        <v>0</v>
      </c>
      <c r="CD43" s="2">
        <v>0</v>
      </c>
      <c r="CE43" s="2">
        <v>0</v>
      </c>
      <c r="CF43" s="2">
        <v>0</v>
      </c>
      <c r="CG43" s="2">
        <v>0</v>
      </c>
      <c r="CH43" s="2">
        <v>0</v>
      </c>
      <c r="CI43" s="1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</row>
    <row r="44" spans="1:102" x14ac:dyDescent="0.2">
      <c r="A44" s="1">
        <v>-9763.2761184457449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1.2000000000000002</v>
      </c>
      <c r="J44" s="1">
        <v>6.6970562748477205</v>
      </c>
      <c r="K44" s="1">
        <v>23.399494936611699</v>
      </c>
      <c r="L44" s="1">
        <v>49.60731598529194</v>
      </c>
      <c r="M44" s="1">
        <v>82.150670939904941</v>
      </c>
      <c r="N44" s="1">
        <v>100</v>
      </c>
      <c r="O44" s="1">
        <v>100</v>
      </c>
      <c r="P44" s="1">
        <v>100</v>
      </c>
      <c r="Q44" s="1">
        <v>100</v>
      </c>
      <c r="R44" s="1">
        <v>100</v>
      </c>
      <c r="S44" s="1">
        <v>100</v>
      </c>
      <c r="T44" s="1">
        <v>100</v>
      </c>
      <c r="U44" s="1">
        <v>82.150670939904927</v>
      </c>
      <c r="V44" s="1">
        <v>49.607315985291947</v>
      </c>
      <c r="W44" s="1">
        <v>23.399494936611699</v>
      </c>
      <c r="X44" s="1">
        <v>6.6970562748477196</v>
      </c>
      <c r="Y44" s="1">
        <v>1.2000000000000002</v>
      </c>
      <c r="Z44" s="1">
        <v>0</v>
      </c>
      <c r="AA44" s="1">
        <v>0</v>
      </c>
      <c r="AB44" s="1">
        <v>0</v>
      </c>
      <c r="AC44" s="12">
        <v>0</v>
      </c>
      <c r="AD44" s="1">
        <v>0</v>
      </c>
      <c r="AE44" s="1">
        <v>0</v>
      </c>
      <c r="AF44" s="1">
        <v>0</v>
      </c>
      <c r="AG44" s="29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2">
        <v>0</v>
      </c>
      <c r="AP44" s="2">
        <v>0</v>
      </c>
      <c r="AQ44" s="28">
        <v>0</v>
      </c>
      <c r="AR44" s="2">
        <v>0</v>
      </c>
      <c r="AS44" s="1">
        <v>0</v>
      </c>
      <c r="AT44" s="2">
        <v>0</v>
      </c>
      <c r="AU44" s="15">
        <v>0</v>
      </c>
      <c r="AV44" s="15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1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0</v>
      </c>
      <c r="BK44" s="2">
        <v>0</v>
      </c>
      <c r="BL44" s="2">
        <v>0</v>
      </c>
      <c r="BM44" s="2">
        <v>0</v>
      </c>
      <c r="BN44" s="1">
        <v>0</v>
      </c>
      <c r="BO44" s="2">
        <v>0</v>
      </c>
      <c r="BP44" s="2">
        <v>0</v>
      </c>
      <c r="BQ44" s="2">
        <v>0</v>
      </c>
      <c r="BR44" s="2">
        <v>0</v>
      </c>
      <c r="BS44" s="2">
        <v>0</v>
      </c>
      <c r="BT44" s="2">
        <v>0</v>
      </c>
      <c r="BU44" s="2">
        <v>0</v>
      </c>
      <c r="BV44" s="2">
        <v>0</v>
      </c>
      <c r="BW44" s="2">
        <v>0</v>
      </c>
      <c r="BX44" s="2">
        <v>0</v>
      </c>
      <c r="BY44" s="11">
        <v>0</v>
      </c>
      <c r="BZ44" s="2">
        <v>0</v>
      </c>
      <c r="CA44" s="2">
        <v>0</v>
      </c>
      <c r="CB44" s="2">
        <v>0</v>
      </c>
      <c r="CC44" s="2">
        <v>0</v>
      </c>
      <c r="CD44" s="2">
        <v>0</v>
      </c>
      <c r="CE44" s="2">
        <v>0</v>
      </c>
      <c r="CF44" s="2">
        <v>0</v>
      </c>
      <c r="CG44" s="2">
        <v>0</v>
      </c>
      <c r="CH44" s="2">
        <v>0</v>
      </c>
      <c r="CI44" s="1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</row>
    <row r="45" spans="1:102" ht="12.75" thickBot="1" x14ac:dyDescent="0.25">
      <c r="A45" s="1">
        <v>-9789.2626191508662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2</v>
      </c>
      <c r="L45" s="1">
        <v>7.9284271247462001</v>
      </c>
      <c r="M45" s="1">
        <v>18.7852813742386</v>
      </c>
      <c r="N45" s="1">
        <v>30.917871555019069</v>
      </c>
      <c r="O45" s="1">
        <v>43.971782079359187</v>
      </c>
      <c r="P45" s="1">
        <v>53.155844122715806</v>
      </c>
      <c r="Q45" s="1">
        <v>56.635743110038135</v>
      </c>
      <c r="R45" s="1">
        <v>53.155844122715806</v>
      </c>
      <c r="S45" s="1">
        <v>43.971782079359187</v>
      </c>
      <c r="T45" s="1">
        <v>30.917871555019072</v>
      </c>
      <c r="U45" s="1">
        <v>18.7852813742386</v>
      </c>
      <c r="V45" s="1">
        <v>7.9284271247462001</v>
      </c>
      <c r="W45" s="1">
        <v>2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2">
        <v>0</v>
      </c>
      <c r="AD45" s="1">
        <v>0</v>
      </c>
      <c r="AE45" s="1">
        <v>0</v>
      </c>
      <c r="AF45" s="1">
        <v>0</v>
      </c>
      <c r="AG45" s="29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2">
        <v>0</v>
      </c>
      <c r="AP45" s="2">
        <v>0</v>
      </c>
      <c r="AQ45" s="28">
        <v>0</v>
      </c>
      <c r="AR45" s="2">
        <v>0</v>
      </c>
      <c r="AS45" s="1">
        <v>0</v>
      </c>
      <c r="AT45" s="2">
        <v>0</v>
      </c>
      <c r="AU45" s="15">
        <v>0</v>
      </c>
      <c r="AV45" s="15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1">
        <v>0</v>
      </c>
      <c r="BD45" s="2">
        <v>0</v>
      </c>
      <c r="BE45" s="2">
        <v>0</v>
      </c>
      <c r="BF45" s="2">
        <v>0</v>
      </c>
      <c r="BG45" s="2">
        <v>0</v>
      </c>
      <c r="BH45" s="2">
        <v>0</v>
      </c>
      <c r="BI45" s="2">
        <v>0</v>
      </c>
      <c r="BJ45" s="2">
        <v>0</v>
      </c>
      <c r="BK45" s="2">
        <v>0</v>
      </c>
      <c r="BL45" s="2">
        <v>0</v>
      </c>
      <c r="BM45" s="2">
        <v>0</v>
      </c>
      <c r="BN45" s="1">
        <v>0</v>
      </c>
      <c r="BO45" s="2">
        <v>0</v>
      </c>
      <c r="BP45" s="2">
        <v>0</v>
      </c>
      <c r="BQ45" s="2">
        <v>0</v>
      </c>
      <c r="BR45" s="2">
        <v>0</v>
      </c>
      <c r="BS45" s="2">
        <v>0</v>
      </c>
      <c r="BT45" s="2">
        <v>0</v>
      </c>
      <c r="BU45" s="2">
        <v>0</v>
      </c>
      <c r="BV45" s="2">
        <v>0</v>
      </c>
      <c r="BW45" s="2">
        <v>0</v>
      </c>
      <c r="BX45" s="2">
        <v>0</v>
      </c>
      <c r="BY45" s="17">
        <v>0</v>
      </c>
      <c r="BZ45" s="2">
        <v>0</v>
      </c>
      <c r="CA45" s="2">
        <v>0</v>
      </c>
      <c r="CB45" s="2">
        <v>0</v>
      </c>
      <c r="CC45" s="2">
        <v>0</v>
      </c>
      <c r="CD45" s="2">
        <v>0</v>
      </c>
      <c r="CE45" s="2">
        <v>0</v>
      </c>
      <c r="CF45" s="2">
        <v>0</v>
      </c>
      <c r="CG45" s="2">
        <v>0</v>
      </c>
      <c r="CH45" s="2">
        <v>0</v>
      </c>
      <c r="CI45" s="1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</row>
    <row r="46" spans="1:102" ht="12.75" thickBot="1" x14ac:dyDescent="0.25">
      <c r="A46" s="1">
        <v>-9822.0804907058846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0.9</v>
      </c>
      <c r="N46" s="1">
        <v>2.6727922061357905</v>
      </c>
      <c r="O46" s="1">
        <v>4.7798989873223405</v>
      </c>
      <c r="P46" s="1">
        <v>6.0870057685088899</v>
      </c>
      <c r="Q46" s="1">
        <v>6.6284271247462003</v>
      </c>
      <c r="R46" s="1">
        <v>6.0870057685088899</v>
      </c>
      <c r="S46" s="1">
        <v>4.7798989873223405</v>
      </c>
      <c r="T46" s="1">
        <v>2.6727922061357905</v>
      </c>
      <c r="U46" s="1">
        <v>0.9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2">
        <v>0</v>
      </c>
      <c r="AD46" s="1">
        <v>0</v>
      </c>
      <c r="AE46" s="1">
        <v>0</v>
      </c>
      <c r="AF46" s="1">
        <v>0</v>
      </c>
      <c r="AG46" s="29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2">
        <v>0</v>
      </c>
      <c r="AP46" s="2">
        <v>0</v>
      </c>
      <c r="AQ46" s="28">
        <v>0</v>
      </c>
      <c r="AR46" s="2">
        <v>0</v>
      </c>
      <c r="AS46" s="1">
        <v>0</v>
      </c>
      <c r="AT46" s="2">
        <v>0</v>
      </c>
      <c r="AU46" s="15">
        <v>0</v>
      </c>
      <c r="AV46" s="15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1">
        <v>0</v>
      </c>
      <c r="BD46" s="2">
        <v>0</v>
      </c>
      <c r="BE46" s="2">
        <v>0</v>
      </c>
      <c r="BF46" s="2">
        <v>0</v>
      </c>
      <c r="BG46" s="2">
        <v>0</v>
      </c>
      <c r="BH46" s="2">
        <v>0</v>
      </c>
      <c r="BI46" s="2">
        <v>0</v>
      </c>
      <c r="BJ46" s="2">
        <v>0</v>
      </c>
      <c r="BK46" s="2">
        <v>0</v>
      </c>
      <c r="BL46" s="2">
        <v>0</v>
      </c>
      <c r="BM46" s="2">
        <v>0</v>
      </c>
      <c r="BN46" s="1">
        <v>0</v>
      </c>
      <c r="BO46" s="2">
        <v>0</v>
      </c>
      <c r="BP46" s="2">
        <v>0</v>
      </c>
      <c r="BQ46" s="2">
        <v>0</v>
      </c>
      <c r="BR46" s="2">
        <v>0</v>
      </c>
      <c r="BS46" s="2">
        <v>0</v>
      </c>
      <c r="BT46" s="2">
        <v>0</v>
      </c>
      <c r="BU46" s="2">
        <v>0</v>
      </c>
      <c r="BV46" s="2">
        <v>0</v>
      </c>
      <c r="BW46" s="2">
        <v>0</v>
      </c>
      <c r="BX46" s="9">
        <v>0</v>
      </c>
      <c r="BY46" s="16">
        <v>0</v>
      </c>
      <c r="BZ46" s="2">
        <v>0</v>
      </c>
      <c r="CA46" s="2">
        <v>0</v>
      </c>
      <c r="CB46" s="2">
        <v>0</v>
      </c>
      <c r="CC46" s="2">
        <v>0</v>
      </c>
      <c r="CD46" s="2">
        <v>0</v>
      </c>
      <c r="CE46" s="2">
        <v>0</v>
      </c>
      <c r="CF46" s="2">
        <v>0</v>
      </c>
      <c r="CG46" s="2">
        <v>0</v>
      </c>
      <c r="CH46" s="2">
        <v>0</v>
      </c>
      <c r="CI46" s="10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</row>
    <row r="47" spans="1:102" x14ac:dyDescent="0.2">
      <c r="A47" s="1">
        <v>-9856.8054690420922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2">
        <v>0</v>
      </c>
      <c r="AD47" s="1">
        <v>0</v>
      </c>
      <c r="AE47" s="1">
        <v>0</v>
      </c>
      <c r="AF47" s="1">
        <v>0</v>
      </c>
      <c r="AG47" s="29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2">
        <v>0</v>
      </c>
      <c r="AP47" s="2">
        <v>0</v>
      </c>
      <c r="AQ47" s="28">
        <v>0</v>
      </c>
      <c r="AR47" s="2">
        <v>0</v>
      </c>
      <c r="AS47" s="1">
        <v>0</v>
      </c>
      <c r="AT47" s="2">
        <v>0</v>
      </c>
      <c r="AU47" s="15">
        <v>0</v>
      </c>
      <c r="AV47" s="15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1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0</v>
      </c>
      <c r="BN47" s="1">
        <v>0</v>
      </c>
      <c r="BO47" s="2">
        <v>0</v>
      </c>
      <c r="BP47" s="2">
        <v>0</v>
      </c>
      <c r="BQ47" s="2">
        <v>0</v>
      </c>
      <c r="BR47" s="2">
        <v>0</v>
      </c>
      <c r="BS47" s="2">
        <v>0</v>
      </c>
      <c r="BT47" s="2">
        <v>0</v>
      </c>
      <c r="BU47" s="2">
        <v>0</v>
      </c>
      <c r="BV47" s="2">
        <v>0</v>
      </c>
      <c r="BW47" s="2">
        <v>0</v>
      </c>
      <c r="BX47" s="11">
        <v>0</v>
      </c>
      <c r="BY47" s="2">
        <v>0</v>
      </c>
      <c r="BZ47" s="2">
        <v>0</v>
      </c>
      <c r="CA47" s="2">
        <v>0</v>
      </c>
      <c r="CB47" s="2">
        <v>0</v>
      </c>
      <c r="CC47" s="2">
        <v>0</v>
      </c>
      <c r="CD47" s="2">
        <v>0</v>
      </c>
      <c r="CE47" s="2">
        <v>0</v>
      </c>
      <c r="CF47" s="2">
        <v>0</v>
      </c>
      <c r="CG47" s="2">
        <v>0</v>
      </c>
      <c r="CH47" s="9">
        <v>0</v>
      </c>
      <c r="CI47" s="2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</row>
    <row r="48" spans="1:102" x14ac:dyDescent="0.2">
      <c r="A48" s="1">
        <v>-9892.8961328032456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2">
        <v>0</v>
      </c>
      <c r="AD48" s="1">
        <v>0</v>
      </c>
      <c r="AE48" s="1">
        <v>0</v>
      </c>
      <c r="AF48" s="1">
        <v>0</v>
      </c>
      <c r="AG48" s="29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2">
        <v>0</v>
      </c>
      <c r="AP48" s="2">
        <v>0</v>
      </c>
      <c r="AQ48" s="28">
        <v>0</v>
      </c>
      <c r="AR48" s="2">
        <v>0</v>
      </c>
      <c r="AS48" s="1">
        <v>0</v>
      </c>
      <c r="AT48" s="2">
        <v>0</v>
      </c>
      <c r="AU48" s="15">
        <v>0</v>
      </c>
      <c r="AV48" s="15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1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  <c r="BL48" s="2">
        <v>0</v>
      </c>
      <c r="BM48" s="2">
        <v>0</v>
      </c>
      <c r="BN48" s="1">
        <v>0</v>
      </c>
      <c r="BO48" s="2">
        <v>0</v>
      </c>
      <c r="BP48" s="2">
        <v>0</v>
      </c>
      <c r="BQ48" s="2">
        <v>0</v>
      </c>
      <c r="BR48" s="2">
        <v>0</v>
      </c>
      <c r="BS48" s="2">
        <v>0</v>
      </c>
      <c r="BT48" s="2">
        <v>0</v>
      </c>
      <c r="BU48" s="2">
        <v>0</v>
      </c>
      <c r="BV48" s="2">
        <v>0</v>
      </c>
      <c r="BW48" s="2">
        <v>0</v>
      </c>
      <c r="BX48" s="11">
        <v>0</v>
      </c>
      <c r="BY48" s="2">
        <v>0</v>
      </c>
      <c r="BZ48" s="2">
        <v>0</v>
      </c>
      <c r="CA48" s="2">
        <v>0</v>
      </c>
      <c r="CB48" s="2">
        <v>0</v>
      </c>
      <c r="CC48" s="2">
        <v>0</v>
      </c>
      <c r="CD48" s="2">
        <v>0</v>
      </c>
      <c r="CE48" s="2">
        <v>0</v>
      </c>
      <c r="CF48" s="2">
        <v>0</v>
      </c>
      <c r="CG48" s="2">
        <v>0</v>
      </c>
      <c r="CH48" s="11">
        <v>0</v>
      </c>
      <c r="CI48" s="2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</row>
    <row r="49" spans="1:102" ht="12.75" thickBot="1" x14ac:dyDescent="0.25">
      <c r="A49" s="1">
        <v>-9929.8110606331156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2">
        <v>0</v>
      </c>
      <c r="AD49" s="1">
        <v>0</v>
      </c>
      <c r="AE49" s="1">
        <v>0</v>
      </c>
      <c r="AF49" s="1">
        <v>0</v>
      </c>
      <c r="AG49" s="29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2">
        <v>0</v>
      </c>
      <c r="AP49" s="2">
        <v>0</v>
      </c>
      <c r="AQ49" s="28">
        <v>0</v>
      </c>
      <c r="AR49" s="2">
        <v>0</v>
      </c>
      <c r="AS49" s="1">
        <v>0</v>
      </c>
      <c r="AT49" s="2">
        <v>0</v>
      </c>
      <c r="AU49" s="15">
        <v>0</v>
      </c>
      <c r="AV49" s="15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1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1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0</v>
      </c>
      <c r="BV49" s="2">
        <v>0</v>
      </c>
      <c r="BW49" s="2">
        <v>0</v>
      </c>
      <c r="BX49" s="10">
        <v>0</v>
      </c>
      <c r="BY49" s="2">
        <v>0</v>
      </c>
      <c r="BZ49" s="2">
        <v>0</v>
      </c>
      <c r="CA49" s="2">
        <v>0</v>
      </c>
      <c r="CB49" s="2">
        <v>0</v>
      </c>
      <c r="CC49" s="2">
        <v>0</v>
      </c>
      <c r="CD49" s="2">
        <v>0</v>
      </c>
      <c r="CE49" s="2">
        <v>0</v>
      </c>
      <c r="CF49" s="2">
        <v>0</v>
      </c>
      <c r="CG49" s="2">
        <v>0</v>
      </c>
      <c r="CH49" s="11">
        <v>0</v>
      </c>
      <c r="CI49" s="2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</row>
    <row r="50" spans="1:102" x14ac:dyDescent="0.2">
      <c r="A50" s="1">
        <v>-9959.925988462981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2">
        <v>0</v>
      </c>
      <c r="AD50" s="1">
        <v>0</v>
      </c>
      <c r="AE50" s="1">
        <v>0</v>
      </c>
      <c r="AF50" s="1">
        <v>0</v>
      </c>
      <c r="AG50" s="29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2">
        <v>0</v>
      </c>
      <c r="AP50" s="2">
        <v>0</v>
      </c>
      <c r="AQ50" s="28">
        <v>0</v>
      </c>
      <c r="AR50" s="2">
        <v>0</v>
      </c>
      <c r="AS50" s="1">
        <v>0</v>
      </c>
      <c r="AT50" s="2">
        <v>0</v>
      </c>
      <c r="AU50" s="15">
        <v>0</v>
      </c>
      <c r="AV50" s="15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1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2">
        <v>0</v>
      </c>
      <c r="BN50" s="1">
        <v>0</v>
      </c>
      <c r="BO50" s="2">
        <v>0</v>
      </c>
      <c r="BP50" s="2">
        <v>0</v>
      </c>
      <c r="BQ50" s="2">
        <v>0</v>
      </c>
      <c r="BR50" s="2">
        <v>0</v>
      </c>
      <c r="BS50" s="2">
        <v>0</v>
      </c>
      <c r="BT50" s="2">
        <v>0</v>
      </c>
      <c r="BU50" s="2">
        <v>0</v>
      </c>
      <c r="BV50" s="2">
        <v>0</v>
      </c>
      <c r="BW50" s="9">
        <v>0</v>
      </c>
      <c r="BX50" s="2">
        <v>0</v>
      </c>
      <c r="BY50" s="2">
        <v>0</v>
      </c>
      <c r="BZ50" s="2">
        <v>0</v>
      </c>
      <c r="CA50" s="2">
        <v>0</v>
      </c>
      <c r="CB50" s="2">
        <v>0</v>
      </c>
      <c r="CC50" s="2">
        <v>0</v>
      </c>
      <c r="CD50" s="2">
        <v>0</v>
      </c>
      <c r="CE50" s="2">
        <v>0</v>
      </c>
      <c r="CF50" s="2">
        <v>0</v>
      </c>
      <c r="CG50" s="2">
        <v>0</v>
      </c>
      <c r="CH50" s="11">
        <v>0</v>
      </c>
      <c r="CI50" s="2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</row>
    <row r="51" spans="1:102" ht="12.75" thickBot="1" x14ac:dyDescent="0.25">
      <c r="A51" s="1">
        <v>-9976.2000000000007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2">
        <v>0</v>
      </c>
      <c r="AD51" s="1">
        <v>0</v>
      </c>
      <c r="AE51" s="1">
        <v>0</v>
      </c>
      <c r="AF51" s="1">
        <v>0</v>
      </c>
      <c r="AG51" s="29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2">
        <v>0</v>
      </c>
      <c r="AP51" s="2">
        <v>0</v>
      </c>
      <c r="AQ51" s="28">
        <v>0</v>
      </c>
      <c r="AR51" s="2">
        <v>0</v>
      </c>
      <c r="AS51" s="1">
        <v>0</v>
      </c>
      <c r="AT51" s="2">
        <v>0</v>
      </c>
      <c r="AU51" s="15">
        <v>0</v>
      </c>
      <c r="AV51" s="15">
        <v>0</v>
      </c>
      <c r="AW51" s="2">
        <v>0</v>
      </c>
      <c r="AX51" s="2">
        <v>0</v>
      </c>
      <c r="AY51" s="2">
        <v>0</v>
      </c>
      <c r="AZ51" s="2">
        <v>0</v>
      </c>
      <c r="BA51" s="2">
        <v>0</v>
      </c>
      <c r="BB51" s="2">
        <v>0</v>
      </c>
      <c r="BC51" s="1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  <c r="BM51" s="2">
        <v>0</v>
      </c>
      <c r="BN51" s="1">
        <v>0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0</v>
      </c>
      <c r="BV51" s="2">
        <v>0</v>
      </c>
      <c r="BW51" s="11">
        <v>0</v>
      </c>
      <c r="BX51" s="2">
        <v>0</v>
      </c>
      <c r="BY51" s="2">
        <v>0</v>
      </c>
      <c r="BZ51" s="2">
        <v>0</v>
      </c>
      <c r="CA51" s="2">
        <v>0</v>
      </c>
      <c r="CB51" s="2">
        <v>0</v>
      </c>
      <c r="CC51" s="2">
        <v>0</v>
      </c>
      <c r="CD51" s="2">
        <v>0</v>
      </c>
      <c r="CE51" s="2">
        <v>0</v>
      </c>
      <c r="CF51" s="2">
        <v>0</v>
      </c>
      <c r="CG51" s="2">
        <v>0</v>
      </c>
      <c r="CH51" s="10">
        <v>0</v>
      </c>
      <c r="CI51" s="2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</row>
    <row r="52" spans="1:102" ht="12.75" thickBot="1" x14ac:dyDescent="0.25">
      <c r="A52" s="1">
        <v>-9980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2">
        <v>0</v>
      </c>
      <c r="AD52" s="1">
        <v>0</v>
      </c>
      <c r="AE52" s="1">
        <v>0</v>
      </c>
      <c r="AF52" s="1">
        <v>0</v>
      </c>
      <c r="AG52" s="29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2">
        <v>0</v>
      </c>
      <c r="AP52" s="2">
        <v>0</v>
      </c>
      <c r="AQ52" s="28">
        <v>0</v>
      </c>
      <c r="AR52" s="2">
        <v>0</v>
      </c>
      <c r="AS52" s="1">
        <v>0</v>
      </c>
      <c r="AT52" s="2">
        <v>0</v>
      </c>
      <c r="AU52" s="15">
        <v>0</v>
      </c>
      <c r="AV52" s="15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1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  <c r="BL52" s="2">
        <v>0</v>
      </c>
      <c r="BM52" s="2">
        <v>0</v>
      </c>
      <c r="BN52" s="1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11">
        <v>0</v>
      </c>
      <c r="BX52" s="2">
        <v>0</v>
      </c>
      <c r="BY52" s="2">
        <v>0</v>
      </c>
      <c r="BZ52" s="2">
        <v>0</v>
      </c>
      <c r="CA52" s="2">
        <v>0</v>
      </c>
      <c r="CB52" s="2">
        <v>0</v>
      </c>
      <c r="CC52" s="2">
        <v>0</v>
      </c>
      <c r="CD52" s="2">
        <v>0</v>
      </c>
      <c r="CE52" s="2">
        <v>0</v>
      </c>
      <c r="CF52" s="2">
        <v>0</v>
      </c>
      <c r="CG52" s="9">
        <v>0</v>
      </c>
      <c r="CH52" s="2">
        <v>0</v>
      </c>
      <c r="CI52" s="2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</row>
    <row r="53" spans="1:102" ht="12.75" thickBot="1" x14ac:dyDescent="0.25">
      <c r="A53" s="1">
        <v>-9980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2">
        <v>0</v>
      </c>
      <c r="AD53" s="1">
        <v>0</v>
      </c>
      <c r="AE53" s="1">
        <v>0</v>
      </c>
      <c r="AF53" s="1">
        <v>0</v>
      </c>
      <c r="AG53" s="29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2">
        <v>0</v>
      </c>
      <c r="AP53" s="2">
        <v>0</v>
      </c>
      <c r="AQ53" s="28">
        <v>0</v>
      </c>
      <c r="AR53" s="2">
        <v>0</v>
      </c>
      <c r="AS53" s="1">
        <v>0</v>
      </c>
      <c r="AT53" s="2">
        <v>0</v>
      </c>
      <c r="AU53" s="15">
        <v>0</v>
      </c>
      <c r="AV53" s="15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1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0</v>
      </c>
      <c r="BK53" s="2">
        <v>0</v>
      </c>
      <c r="BL53" s="2">
        <v>0</v>
      </c>
      <c r="BM53" s="2">
        <v>0</v>
      </c>
      <c r="BN53" s="1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0</v>
      </c>
      <c r="BU53" s="2">
        <v>0</v>
      </c>
      <c r="BV53" s="8">
        <v>0</v>
      </c>
      <c r="BW53" s="10">
        <v>0</v>
      </c>
      <c r="BX53" s="2">
        <v>0</v>
      </c>
      <c r="BY53" s="2">
        <v>0</v>
      </c>
      <c r="BZ53" s="2">
        <v>0</v>
      </c>
      <c r="CA53" s="2">
        <v>0</v>
      </c>
      <c r="CB53" s="2">
        <v>0</v>
      </c>
      <c r="CC53" s="2">
        <v>0</v>
      </c>
      <c r="CD53" s="2">
        <v>0</v>
      </c>
      <c r="CE53" s="2">
        <v>0</v>
      </c>
      <c r="CF53" s="2">
        <v>0</v>
      </c>
      <c r="CG53" s="11">
        <v>0</v>
      </c>
      <c r="CH53" s="2">
        <v>0</v>
      </c>
      <c r="CI53" s="2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</row>
    <row r="54" spans="1:102" ht="12.75" thickBot="1" x14ac:dyDescent="0.25">
      <c r="A54" s="1">
        <v>-9980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2">
        <v>0</v>
      </c>
      <c r="AD54" s="1">
        <v>0</v>
      </c>
      <c r="AE54" s="1">
        <v>0</v>
      </c>
      <c r="AF54" s="1">
        <v>0</v>
      </c>
      <c r="AG54" s="29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2">
        <v>0</v>
      </c>
      <c r="AP54" s="2">
        <v>0</v>
      </c>
      <c r="AQ54" s="28">
        <v>0</v>
      </c>
      <c r="AR54" s="2">
        <v>0</v>
      </c>
      <c r="AS54" s="1">
        <v>0</v>
      </c>
      <c r="AT54" s="2">
        <v>0</v>
      </c>
      <c r="AU54" s="15">
        <v>0</v>
      </c>
      <c r="AV54" s="15">
        <v>0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1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0</v>
      </c>
      <c r="BM54" s="2">
        <v>0</v>
      </c>
      <c r="BN54" s="1">
        <v>0</v>
      </c>
      <c r="BO54" s="2">
        <v>0</v>
      </c>
      <c r="BP54" s="2">
        <v>0</v>
      </c>
      <c r="BQ54" s="2">
        <v>0</v>
      </c>
      <c r="BR54" s="2">
        <v>0</v>
      </c>
      <c r="BS54" s="2">
        <v>0</v>
      </c>
      <c r="BT54" s="2">
        <v>0</v>
      </c>
      <c r="BU54" s="2">
        <v>0</v>
      </c>
      <c r="BV54" s="11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2">
        <v>0</v>
      </c>
      <c r="CC54" s="2">
        <v>0</v>
      </c>
      <c r="CD54" s="2">
        <v>0</v>
      </c>
      <c r="CE54" s="2">
        <v>0</v>
      </c>
      <c r="CF54" s="2">
        <v>0</v>
      </c>
      <c r="CG54" s="10">
        <v>0</v>
      </c>
      <c r="CH54" s="2">
        <v>0</v>
      </c>
      <c r="CI54" s="2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</row>
    <row r="55" spans="1:102" ht="12.75" thickBot="1" x14ac:dyDescent="0.25">
      <c r="A55" s="1">
        <v>-9980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2">
        <v>0</v>
      </c>
      <c r="AD55" s="1">
        <v>0</v>
      </c>
      <c r="AE55" s="1">
        <v>0</v>
      </c>
      <c r="AF55" s="1">
        <v>0</v>
      </c>
      <c r="AG55" s="29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2">
        <v>0</v>
      </c>
      <c r="AP55" s="2">
        <v>0</v>
      </c>
      <c r="AQ55" s="2">
        <v>0</v>
      </c>
      <c r="AR55" s="2">
        <v>0</v>
      </c>
      <c r="AS55" s="1">
        <v>0</v>
      </c>
      <c r="AT55" s="2">
        <v>0</v>
      </c>
      <c r="AU55" s="15">
        <v>0</v>
      </c>
      <c r="AV55" s="15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1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  <c r="BL55" s="2">
        <v>0</v>
      </c>
      <c r="BM55" s="2">
        <v>0</v>
      </c>
      <c r="BN55" s="1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10">
        <v>0</v>
      </c>
      <c r="BW55" s="2">
        <v>0</v>
      </c>
      <c r="BX55" s="2">
        <v>0</v>
      </c>
      <c r="BY55" s="2">
        <v>0</v>
      </c>
      <c r="BZ55" s="2">
        <v>0</v>
      </c>
      <c r="CA55" s="2">
        <v>0</v>
      </c>
      <c r="CB55" s="2">
        <v>0</v>
      </c>
      <c r="CC55" s="2">
        <v>0</v>
      </c>
      <c r="CD55" s="2">
        <v>0</v>
      </c>
      <c r="CE55" s="2">
        <v>0</v>
      </c>
      <c r="CF55" s="9">
        <v>0</v>
      </c>
      <c r="CG55" s="2">
        <v>0</v>
      </c>
      <c r="CH55" s="2">
        <v>0</v>
      </c>
      <c r="CI55" s="2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</row>
    <row r="56" spans="1:102" x14ac:dyDescent="0.2">
      <c r="A56" s="1">
        <v>-9980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2">
        <v>0</v>
      </c>
      <c r="AD56" s="1">
        <v>0</v>
      </c>
      <c r="AE56" s="1">
        <v>0</v>
      </c>
      <c r="AF56" s="1">
        <v>0</v>
      </c>
      <c r="AG56" s="29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2">
        <v>0</v>
      </c>
      <c r="AP56" s="2">
        <v>0</v>
      </c>
      <c r="AQ56" s="2">
        <v>0</v>
      </c>
      <c r="AR56" s="2">
        <v>0</v>
      </c>
      <c r="AS56" s="1">
        <v>0</v>
      </c>
      <c r="AT56" s="2">
        <v>0</v>
      </c>
      <c r="AU56" s="15">
        <v>0</v>
      </c>
      <c r="AV56" s="15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1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1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9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2">
        <v>0</v>
      </c>
      <c r="CC56" s="2">
        <v>0</v>
      </c>
      <c r="CD56" s="2">
        <v>0</v>
      </c>
      <c r="CE56" s="2">
        <v>0</v>
      </c>
      <c r="CF56" s="11">
        <v>0</v>
      </c>
      <c r="CG56" s="2">
        <v>0</v>
      </c>
      <c r="CH56" s="2">
        <v>0</v>
      </c>
      <c r="CI56" s="2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</row>
    <row r="57" spans="1:102" ht="12.75" thickBot="1" x14ac:dyDescent="0.25">
      <c r="A57" s="1">
        <v>-9980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2">
        <v>0</v>
      </c>
      <c r="AD57" s="1">
        <v>0</v>
      </c>
      <c r="AE57" s="1">
        <v>0</v>
      </c>
      <c r="AF57" s="1">
        <v>0</v>
      </c>
      <c r="AG57" s="29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2">
        <v>0</v>
      </c>
      <c r="AP57" s="2">
        <v>0</v>
      </c>
      <c r="AQ57" s="2">
        <v>0</v>
      </c>
      <c r="AR57" s="2">
        <v>0</v>
      </c>
      <c r="AS57" s="1">
        <v>0</v>
      </c>
      <c r="AT57" s="2">
        <v>0</v>
      </c>
      <c r="AU57" s="15">
        <v>0</v>
      </c>
      <c r="AV57" s="15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1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1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10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2">
        <v>0</v>
      </c>
      <c r="CC57" s="2">
        <v>0</v>
      </c>
      <c r="CD57" s="2">
        <v>0</v>
      </c>
      <c r="CE57" s="2">
        <v>0</v>
      </c>
      <c r="CF57" s="10">
        <v>0</v>
      </c>
      <c r="CG57" s="2">
        <v>0</v>
      </c>
      <c r="CH57" s="2">
        <v>0</v>
      </c>
      <c r="CI57" s="2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</row>
    <row r="58" spans="1:102" x14ac:dyDescent="0.2">
      <c r="A58" s="1">
        <v>-9980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2">
        <v>0</v>
      </c>
      <c r="AD58" s="1">
        <v>0</v>
      </c>
      <c r="AE58" s="1">
        <v>0</v>
      </c>
      <c r="AF58" s="1">
        <v>0</v>
      </c>
      <c r="AG58" s="29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2">
        <v>0</v>
      </c>
      <c r="AP58" s="2">
        <v>0</v>
      </c>
      <c r="AQ58" s="2">
        <v>0</v>
      </c>
      <c r="AR58" s="2">
        <v>0</v>
      </c>
      <c r="AS58" s="1">
        <v>0</v>
      </c>
      <c r="AT58" s="2">
        <v>0</v>
      </c>
      <c r="AU58" s="15">
        <v>0</v>
      </c>
      <c r="AV58" s="15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1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1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9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2">
        <v>0</v>
      </c>
      <c r="CC58" s="2">
        <v>0</v>
      </c>
      <c r="CD58" s="2">
        <v>0</v>
      </c>
      <c r="CE58" s="9">
        <v>0</v>
      </c>
      <c r="CF58" s="2">
        <v>0</v>
      </c>
      <c r="CG58" s="2">
        <v>0</v>
      </c>
      <c r="CH58" s="2">
        <v>0</v>
      </c>
      <c r="CI58" s="2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</row>
    <row r="59" spans="1:102" ht="12.75" thickBot="1" x14ac:dyDescent="0.25">
      <c r="A59" s="1">
        <v>-9980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2">
        <v>0</v>
      </c>
      <c r="AD59" s="1">
        <v>0</v>
      </c>
      <c r="AE59" s="1">
        <v>0</v>
      </c>
      <c r="AF59" s="1">
        <v>0</v>
      </c>
      <c r="AG59" s="29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2">
        <v>0</v>
      </c>
      <c r="AP59" s="2">
        <v>0</v>
      </c>
      <c r="AQ59" s="2">
        <v>0</v>
      </c>
      <c r="AR59" s="2">
        <v>0</v>
      </c>
      <c r="AS59" s="1">
        <v>0</v>
      </c>
      <c r="AT59" s="2">
        <v>0</v>
      </c>
      <c r="AU59" s="15">
        <v>0</v>
      </c>
      <c r="AV59" s="15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1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1">
        <v>0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10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2">
        <v>0</v>
      </c>
      <c r="CC59" s="2">
        <v>0</v>
      </c>
      <c r="CD59" s="2">
        <v>0</v>
      </c>
      <c r="CE59" s="10">
        <v>0</v>
      </c>
      <c r="CF59" s="2">
        <v>0</v>
      </c>
      <c r="CG59" s="2">
        <v>0</v>
      </c>
      <c r="CH59" s="2">
        <v>0</v>
      </c>
      <c r="CI59" s="2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</row>
    <row r="60" spans="1:102" ht="12.75" thickBot="1" x14ac:dyDescent="0.25">
      <c r="A60" s="1">
        <v>-9980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2">
        <v>0</v>
      </c>
      <c r="AD60" s="1">
        <v>0</v>
      </c>
      <c r="AE60" s="1">
        <v>0</v>
      </c>
      <c r="AF60" s="1">
        <v>0</v>
      </c>
      <c r="AG60" s="29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2">
        <v>0</v>
      </c>
      <c r="AP60" s="2">
        <v>0</v>
      </c>
      <c r="AQ60" s="2">
        <v>0</v>
      </c>
      <c r="AR60" s="2">
        <v>0</v>
      </c>
      <c r="AS60" s="1">
        <v>0</v>
      </c>
      <c r="AT60" s="2">
        <v>0</v>
      </c>
      <c r="AU60" s="15">
        <v>0</v>
      </c>
      <c r="AV60" s="15">
        <v>0</v>
      </c>
      <c r="AW60" s="2">
        <v>0</v>
      </c>
      <c r="AX60" s="2">
        <v>0</v>
      </c>
      <c r="AY60" s="2">
        <v>0</v>
      </c>
      <c r="AZ60" s="2">
        <v>0</v>
      </c>
      <c r="BA60" s="2">
        <v>0</v>
      </c>
      <c r="BB60" s="2">
        <v>0</v>
      </c>
      <c r="BC60" s="1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1">
        <v>0</v>
      </c>
      <c r="BO60" s="2">
        <v>0</v>
      </c>
      <c r="BP60" s="2">
        <v>0</v>
      </c>
      <c r="BQ60" s="2">
        <v>0</v>
      </c>
      <c r="BR60" s="2">
        <v>0</v>
      </c>
      <c r="BS60" s="9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2">
        <v>0</v>
      </c>
      <c r="CC60" s="2">
        <v>0</v>
      </c>
      <c r="CD60" s="9">
        <v>0</v>
      </c>
      <c r="CE60" s="2">
        <v>0</v>
      </c>
      <c r="CF60" s="2">
        <v>0</v>
      </c>
      <c r="CG60" s="2">
        <v>0</v>
      </c>
      <c r="CH60" s="2">
        <v>0</v>
      </c>
      <c r="CI60" s="2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</row>
    <row r="61" spans="1:102" ht="12.75" thickBot="1" x14ac:dyDescent="0.25">
      <c r="A61" s="1">
        <v>-9980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2">
        <v>0</v>
      </c>
      <c r="AD61" s="1">
        <v>0</v>
      </c>
      <c r="AE61" s="1">
        <v>0</v>
      </c>
      <c r="AF61" s="1">
        <v>0</v>
      </c>
      <c r="AG61" s="29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2">
        <v>0</v>
      </c>
      <c r="AP61" s="2">
        <v>0</v>
      </c>
      <c r="AQ61" s="2">
        <v>0</v>
      </c>
      <c r="AR61" s="2">
        <v>0</v>
      </c>
      <c r="AS61" s="1">
        <v>0</v>
      </c>
      <c r="AT61" s="2">
        <v>0</v>
      </c>
      <c r="AU61" s="15">
        <v>0</v>
      </c>
      <c r="AV61" s="15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1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1">
        <v>0</v>
      </c>
      <c r="BO61" s="2">
        <v>0</v>
      </c>
      <c r="BP61" s="2">
        <v>0</v>
      </c>
      <c r="BQ61" s="2">
        <v>0</v>
      </c>
      <c r="BR61" s="8">
        <v>0</v>
      </c>
      <c r="BS61" s="10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2">
        <v>0</v>
      </c>
      <c r="CC61" s="2">
        <v>0</v>
      </c>
      <c r="CD61" s="10">
        <v>0</v>
      </c>
      <c r="CE61" s="2">
        <v>0</v>
      </c>
      <c r="CF61" s="2">
        <v>0</v>
      </c>
      <c r="CG61" s="2">
        <v>0</v>
      </c>
      <c r="CH61" s="2">
        <v>0</v>
      </c>
      <c r="CI61" s="2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</row>
    <row r="62" spans="1:102" ht="12.75" thickBot="1" x14ac:dyDescent="0.25">
      <c r="A62" s="1">
        <v>-9980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2">
        <v>0</v>
      </c>
      <c r="AD62" s="1">
        <v>0</v>
      </c>
      <c r="AE62" s="1">
        <v>0</v>
      </c>
      <c r="AF62" s="1">
        <v>0</v>
      </c>
      <c r="AG62" s="29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2">
        <v>0</v>
      </c>
      <c r="AP62" s="2">
        <v>0</v>
      </c>
      <c r="AQ62" s="2">
        <v>0</v>
      </c>
      <c r="AR62" s="2">
        <v>0</v>
      </c>
      <c r="AS62" s="1">
        <v>0</v>
      </c>
      <c r="AT62" s="2">
        <v>0</v>
      </c>
      <c r="AU62" s="15">
        <v>0</v>
      </c>
      <c r="AV62" s="15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1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1">
        <v>0</v>
      </c>
      <c r="BO62" s="2">
        <v>0</v>
      </c>
      <c r="BP62" s="2">
        <v>0</v>
      </c>
      <c r="BQ62" s="2">
        <v>0</v>
      </c>
      <c r="BR62" s="10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2">
        <v>0</v>
      </c>
      <c r="CC62" s="9">
        <v>0</v>
      </c>
      <c r="CD62" s="2">
        <v>0</v>
      </c>
      <c r="CE62" s="2">
        <v>0</v>
      </c>
      <c r="CF62" s="2">
        <v>0</v>
      </c>
      <c r="CG62" s="2">
        <v>0</v>
      </c>
      <c r="CH62" s="2">
        <v>0</v>
      </c>
      <c r="CI62" s="2">
        <v>0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T62" s="1">
        <v>0</v>
      </c>
      <c r="CU62" s="1">
        <v>0</v>
      </c>
      <c r="CV62" s="1">
        <v>0</v>
      </c>
      <c r="CW62" s="1">
        <v>0</v>
      </c>
      <c r="CX62" s="1">
        <v>0</v>
      </c>
    </row>
    <row r="63" spans="1:102" ht="12.75" thickBot="1" x14ac:dyDescent="0.25">
      <c r="A63" s="1">
        <v>-9980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2">
        <v>0</v>
      </c>
      <c r="AD63" s="1">
        <v>0</v>
      </c>
      <c r="AE63" s="1">
        <v>0</v>
      </c>
      <c r="AF63" s="1">
        <v>0</v>
      </c>
      <c r="AG63" s="29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2">
        <v>0</v>
      </c>
      <c r="AP63" s="2">
        <v>0</v>
      </c>
      <c r="AQ63" s="2">
        <v>0</v>
      </c>
      <c r="AR63" s="2">
        <v>0</v>
      </c>
      <c r="AS63" s="1">
        <v>0</v>
      </c>
      <c r="AT63" s="2">
        <v>0</v>
      </c>
      <c r="AU63" s="15">
        <v>0</v>
      </c>
      <c r="AV63" s="15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1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1">
        <v>0</v>
      </c>
      <c r="BO63" s="2">
        <v>0</v>
      </c>
      <c r="BP63" s="2">
        <v>0</v>
      </c>
      <c r="BQ63" s="6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2">
        <v>0</v>
      </c>
      <c r="CC63" s="10">
        <v>0</v>
      </c>
      <c r="CD63" s="2">
        <v>0</v>
      </c>
      <c r="CE63" s="2">
        <v>0</v>
      </c>
      <c r="CF63" s="2">
        <v>0</v>
      </c>
      <c r="CG63" s="2">
        <v>0</v>
      </c>
      <c r="CH63" s="2">
        <v>0</v>
      </c>
      <c r="CI63" s="2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  <c r="CW63" s="1">
        <v>0</v>
      </c>
      <c r="CX63" s="1">
        <v>0</v>
      </c>
    </row>
    <row r="64" spans="1:102" ht="12.75" thickBot="1" x14ac:dyDescent="0.25">
      <c r="A64" s="1">
        <v>-9980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2">
        <v>0</v>
      </c>
      <c r="AD64" s="1">
        <v>0</v>
      </c>
      <c r="AE64" s="1">
        <v>0</v>
      </c>
      <c r="AF64" s="1">
        <v>0</v>
      </c>
      <c r="AG64" s="29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2">
        <v>0</v>
      </c>
      <c r="AP64" s="2">
        <v>0</v>
      </c>
      <c r="AQ64" s="2">
        <v>0</v>
      </c>
      <c r="AR64" s="2">
        <v>0</v>
      </c>
      <c r="AS64" s="1">
        <v>0</v>
      </c>
      <c r="AT64" s="2">
        <v>0</v>
      </c>
      <c r="AU64" s="15">
        <v>0</v>
      </c>
      <c r="AV64" s="15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1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1">
        <v>0</v>
      </c>
      <c r="BO64" s="2">
        <v>0</v>
      </c>
      <c r="BP64" s="6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9">
        <v>0</v>
      </c>
      <c r="CC64" s="2">
        <v>0</v>
      </c>
      <c r="CD64" s="2">
        <v>0</v>
      </c>
      <c r="CE64" s="2">
        <v>0</v>
      </c>
      <c r="CF64" s="2">
        <v>0</v>
      </c>
      <c r="CG64" s="2">
        <v>0</v>
      </c>
      <c r="CH64" s="2">
        <v>0</v>
      </c>
      <c r="CI64" s="2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0</v>
      </c>
      <c r="CQ64" s="1">
        <v>0</v>
      </c>
      <c r="CR64" s="1">
        <v>0</v>
      </c>
      <c r="CS64" s="1">
        <v>0</v>
      </c>
      <c r="CT64" s="1">
        <v>0</v>
      </c>
      <c r="CU64" s="1">
        <v>0</v>
      </c>
      <c r="CV64" s="1">
        <v>0</v>
      </c>
      <c r="CW64" s="1">
        <v>0</v>
      </c>
      <c r="CX64" s="1">
        <v>0</v>
      </c>
    </row>
    <row r="65" spans="1:102" ht="12.75" thickBot="1" x14ac:dyDescent="0.25">
      <c r="A65" s="1">
        <v>-9980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2">
        <v>0</v>
      </c>
      <c r="AD65" s="1">
        <v>0</v>
      </c>
      <c r="AE65" s="1">
        <v>0</v>
      </c>
      <c r="AF65" s="1">
        <v>0</v>
      </c>
      <c r="AG65" s="29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2">
        <v>0</v>
      </c>
      <c r="AP65" s="2">
        <v>0</v>
      </c>
      <c r="AQ65" s="2">
        <v>0</v>
      </c>
      <c r="AR65" s="2">
        <v>0</v>
      </c>
      <c r="AS65" s="1">
        <v>0</v>
      </c>
      <c r="AT65" s="2">
        <v>0</v>
      </c>
      <c r="AU65" s="15">
        <v>0</v>
      </c>
      <c r="AV65" s="15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1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  <c r="BL65" s="2">
        <v>0</v>
      </c>
      <c r="BM65" s="2">
        <v>0</v>
      </c>
      <c r="BN65" s="1">
        <v>0</v>
      </c>
      <c r="BO65" s="6">
        <v>0</v>
      </c>
      <c r="BP65" s="6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10">
        <v>0</v>
      </c>
      <c r="CC65" s="2">
        <v>0</v>
      </c>
      <c r="CD65" s="2">
        <v>0</v>
      </c>
      <c r="CE65" s="2">
        <v>0</v>
      </c>
      <c r="CF65" s="2">
        <v>0</v>
      </c>
      <c r="CG65" s="2">
        <v>0</v>
      </c>
      <c r="CH65" s="2">
        <v>0</v>
      </c>
      <c r="CI65" s="2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0</v>
      </c>
      <c r="CX65" s="1">
        <v>0</v>
      </c>
    </row>
    <row r="66" spans="1:102" ht="12.75" thickBot="1" x14ac:dyDescent="0.25">
      <c r="A66" s="1">
        <v>-9980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2">
        <v>0</v>
      </c>
      <c r="AD66" s="1">
        <v>0</v>
      </c>
      <c r="AE66" s="1">
        <v>0</v>
      </c>
      <c r="AF66" s="1">
        <v>0</v>
      </c>
      <c r="AG66" s="29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2">
        <v>0</v>
      </c>
      <c r="AP66" s="2">
        <v>0</v>
      </c>
      <c r="AQ66" s="2">
        <v>0</v>
      </c>
      <c r="AR66" s="2">
        <v>0</v>
      </c>
      <c r="AS66" s="1">
        <v>0</v>
      </c>
      <c r="AT66" s="2">
        <v>0</v>
      </c>
      <c r="AU66" s="15">
        <v>0</v>
      </c>
      <c r="AV66" s="15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1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1">
        <v>0</v>
      </c>
      <c r="BO66" s="6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9">
        <v>0</v>
      </c>
      <c r="CB66" s="2">
        <v>0</v>
      </c>
      <c r="CC66" s="2">
        <v>0</v>
      </c>
      <c r="CD66" s="2">
        <v>0</v>
      </c>
      <c r="CE66" s="2">
        <v>0</v>
      </c>
      <c r="CF66" s="2">
        <v>0</v>
      </c>
      <c r="CG66" s="2">
        <v>0</v>
      </c>
      <c r="CH66" s="2">
        <v>0</v>
      </c>
      <c r="CI66" s="2">
        <v>0</v>
      </c>
      <c r="CJ66" s="1">
        <v>0</v>
      </c>
      <c r="CK66" s="1">
        <v>0</v>
      </c>
      <c r="CL66" s="1">
        <v>0</v>
      </c>
      <c r="CM66" s="1">
        <v>0</v>
      </c>
      <c r="CN66" s="1">
        <v>0</v>
      </c>
      <c r="CO66" s="1">
        <v>0</v>
      </c>
      <c r="CP66" s="1">
        <v>0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0</v>
      </c>
      <c r="CW66" s="1">
        <v>0</v>
      </c>
      <c r="CX66" s="1">
        <v>0</v>
      </c>
    </row>
    <row r="67" spans="1:102" ht="12.75" thickBot="1" x14ac:dyDescent="0.25">
      <c r="A67" s="1">
        <v>-9980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2">
        <v>0</v>
      </c>
      <c r="AD67" s="1">
        <v>0</v>
      </c>
      <c r="AE67" s="1">
        <v>0</v>
      </c>
      <c r="AF67" s="1">
        <v>0</v>
      </c>
      <c r="AG67" s="29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2">
        <v>0</v>
      </c>
      <c r="AP67" s="2">
        <v>0</v>
      </c>
      <c r="AQ67" s="2">
        <v>0</v>
      </c>
      <c r="AR67" s="2">
        <v>0</v>
      </c>
      <c r="AS67" s="1">
        <v>0</v>
      </c>
      <c r="AT67" s="2">
        <v>0</v>
      </c>
      <c r="AU67" s="15">
        <v>0</v>
      </c>
      <c r="AV67" s="15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1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6">
        <v>0</v>
      </c>
      <c r="BN67" s="1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6">
        <v>0</v>
      </c>
      <c r="CA67" s="10">
        <v>0</v>
      </c>
      <c r="CB67" s="2">
        <v>0</v>
      </c>
      <c r="CC67" s="2">
        <v>0</v>
      </c>
      <c r="CD67" s="2">
        <v>0</v>
      </c>
      <c r="CE67" s="2">
        <v>0</v>
      </c>
      <c r="CF67" s="2">
        <v>0</v>
      </c>
      <c r="CG67" s="2">
        <v>0</v>
      </c>
      <c r="CH67" s="2">
        <v>0</v>
      </c>
      <c r="CI67" s="2">
        <v>0</v>
      </c>
      <c r="CJ67" s="1">
        <v>0</v>
      </c>
      <c r="CK67" s="1">
        <v>0</v>
      </c>
      <c r="CL67" s="1">
        <v>0</v>
      </c>
      <c r="CM67" s="1">
        <v>0</v>
      </c>
      <c r="CN67" s="1">
        <v>0</v>
      </c>
      <c r="CO67" s="1">
        <v>0</v>
      </c>
      <c r="CP67" s="1">
        <v>0</v>
      </c>
      <c r="CQ67" s="1">
        <v>0</v>
      </c>
      <c r="CR67" s="1">
        <v>0</v>
      </c>
      <c r="CS67" s="1">
        <v>0</v>
      </c>
      <c r="CT67" s="1">
        <v>0</v>
      </c>
      <c r="CU67" s="1">
        <v>0</v>
      </c>
      <c r="CV67" s="1">
        <v>0</v>
      </c>
      <c r="CW67" s="1">
        <v>0</v>
      </c>
      <c r="CX67" s="1">
        <v>0</v>
      </c>
    </row>
    <row r="68" spans="1:102" ht="12.75" thickBot="1" x14ac:dyDescent="0.25">
      <c r="A68" s="1">
        <v>-9980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2">
        <v>0</v>
      </c>
      <c r="AD68" s="1">
        <v>0</v>
      </c>
      <c r="AE68" s="1">
        <v>0</v>
      </c>
      <c r="AF68" s="1">
        <v>0</v>
      </c>
      <c r="AG68" s="29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2">
        <v>0</v>
      </c>
      <c r="AP68" s="2">
        <v>0</v>
      </c>
      <c r="AQ68" s="2">
        <v>0</v>
      </c>
      <c r="AR68" s="2">
        <v>0</v>
      </c>
      <c r="AS68" s="1">
        <v>0</v>
      </c>
      <c r="AT68" s="2">
        <v>0</v>
      </c>
      <c r="AU68" s="15">
        <v>0</v>
      </c>
      <c r="AV68" s="15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1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6">
        <v>0</v>
      </c>
      <c r="BM68" s="6">
        <v>0</v>
      </c>
      <c r="BN68" s="1">
        <v>0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0</v>
      </c>
      <c r="BV68" s="2">
        <v>0</v>
      </c>
      <c r="BW68" s="2">
        <v>0</v>
      </c>
      <c r="BX68" s="2">
        <v>0</v>
      </c>
      <c r="BY68" s="2">
        <v>0</v>
      </c>
      <c r="BZ68" s="6">
        <v>0</v>
      </c>
      <c r="CA68" s="2">
        <v>0</v>
      </c>
      <c r="CB68" s="2">
        <v>0</v>
      </c>
      <c r="CC68" s="2">
        <v>0</v>
      </c>
      <c r="CD68" s="2">
        <v>0</v>
      </c>
      <c r="CE68" s="2">
        <v>0</v>
      </c>
      <c r="CF68" s="2">
        <v>0</v>
      </c>
      <c r="CG68" s="2">
        <v>0</v>
      </c>
      <c r="CH68" s="2">
        <v>0</v>
      </c>
      <c r="CI68" s="2">
        <v>0</v>
      </c>
      <c r="CJ68" s="1">
        <v>0</v>
      </c>
      <c r="CK68" s="1">
        <v>0</v>
      </c>
      <c r="CL68" s="1">
        <v>0</v>
      </c>
      <c r="CM68" s="1">
        <v>0</v>
      </c>
      <c r="CN68" s="1">
        <v>0</v>
      </c>
      <c r="CO68" s="1">
        <v>0</v>
      </c>
      <c r="CP68" s="1">
        <v>0</v>
      </c>
      <c r="CQ68" s="1">
        <v>0</v>
      </c>
      <c r="CR68" s="1">
        <v>0</v>
      </c>
      <c r="CS68" s="1">
        <v>0</v>
      </c>
      <c r="CT68" s="1">
        <v>0</v>
      </c>
      <c r="CU68" s="1">
        <v>0</v>
      </c>
      <c r="CV68" s="1">
        <v>0</v>
      </c>
      <c r="CW68" s="1">
        <v>0</v>
      </c>
      <c r="CX68" s="1">
        <v>0</v>
      </c>
    </row>
    <row r="69" spans="1:102" ht="12.75" thickBot="1" x14ac:dyDescent="0.25">
      <c r="A69" s="1">
        <v>-9980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2">
        <v>0</v>
      </c>
      <c r="AD69" s="1">
        <v>0</v>
      </c>
      <c r="AE69" s="1">
        <v>0</v>
      </c>
      <c r="AF69" s="1">
        <v>0</v>
      </c>
      <c r="AG69" s="29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2">
        <v>0</v>
      </c>
      <c r="AP69" s="2">
        <v>0</v>
      </c>
      <c r="AQ69" s="2">
        <v>0</v>
      </c>
      <c r="AR69" s="2">
        <v>0</v>
      </c>
      <c r="AS69" s="1">
        <v>0</v>
      </c>
      <c r="AT69" s="2">
        <v>0</v>
      </c>
      <c r="AU69" s="15">
        <v>0</v>
      </c>
      <c r="AV69" s="15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1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6">
        <v>0</v>
      </c>
      <c r="BL69" s="6">
        <v>0</v>
      </c>
      <c r="BM69" s="2">
        <v>0</v>
      </c>
      <c r="BN69" s="1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6">
        <v>0</v>
      </c>
      <c r="BZ69" s="2">
        <v>0</v>
      </c>
      <c r="CA69" s="2">
        <v>0</v>
      </c>
      <c r="CB69" s="2">
        <v>0</v>
      </c>
      <c r="CC69" s="2">
        <v>0</v>
      </c>
      <c r="CD69" s="2">
        <v>0</v>
      </c>
      <c r="CE69" s="2">
        <v>0</v>
      </c>
      <c r="CF69" s="2">
        <v>0</v>
      </c>
      <c r="CG69" s="2">
        <v>0</v>
      </c>
      <c r="CH69" s="2">
        <v>0</v>
      </c>
      <c r="CI69" s="2">
        <v>0</v>
      </c>
      <c r="CJ69" s="1">
        <v>0</v>
      </c>
      <c r="CK69" s="1">
        <v>0</v>
      </c>
      <c r="CL69" s="1">
        <v>0</v>
      </c>
      <c r="CM69" s="1">
        <v>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  <c r="CX69" s="1">
        <v>0</v>
      </c>
    </row>
    <row r="70" spans="1:102" ht="12.75" thickBot="1" x14ac:dyDescent="0.25">
      <c r="A70" s="1">
        <v>-9980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2">
        <v>0</v>
      </c>
      <c r="AD70" s="1">
        <v>0</v>
      </c>
      <c r="AE70" s="1">
        <v>0</v>
      </c>
      <c r="AF70" s="1">
        <v>0</v>
      </c>
      <c r="AG70" s="29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2">
        <v>0</v>
      </c>
      <c r="AP70" s="2">
        <v>0</v>
      </c>
      <c r="AQ70" s="2">
        <v>0</v>
      </c>
      <c r="AR70" s="2">
        <v>0</v>
      </c>
      <c r="AS70" s="1">
        <v>0</v>
      </c>
      <c r="AT70" s="2">
        <v>0</v>
      </c>
      <c r="AU70" s="15">
        <v>0</v>
      </c>
      <c r="AV70" s="15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1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3">
        <v>0</v>
      </c>
      <c r="BK70" s="5">
        <v>0</v>
      </c>
      <c r="BL70" s="2">
        <v>0</v>
      </c>
      <c r="BM70" s="2">
        <v>0</v>
      </c>
      <c r="BN70" s="1">
        <v>0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6">
        <v>0</v>
      </c>
      <c r="BY70" s="2">
        <v>0</v>
      </c>
      <c r="BZ70" s="2">
        <v>0</v>
      </c>
      <c r="CA70" s="2">
        <v>0</v>
      </c>
      <c r="CB70" s="2">
        <v>0</v>
      </c>
      <c r="CC70" s="2">
        <v>0</v>
      </c>
      <c r="CD70" s="2">
        <v>0</v>
      </c>
      <c r="CE70" s="2">
        <v>0</v>
      </c>
      <c r="CF70" s="2">
        <v>0</v>
      </c>
      <c r="CG70" s="2">
        <v>0</v>
      </c>
      <c r="CH70" s="2">
        <v>0</v>
      </c>
      <c r="CI70" s="2">
        <v>0</v>
      </c>
      <c r="CJ70" s="1">
        <v>0</v>
      </c>
      <c r="CK70" s="1">
        <v>0</v>
      </c>
      <c r="CL70" s="1">
        <v>0</v>
      </c>
      <c r="CM70" s="1">
        <v>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  <c r="CX70" s="1">
        <v>0</v>
      </c>
    </row>
    <row r="71" spans="1:102" ht="12.75" thickBot="1" x14ac:dyDescent="0.25">
      <c r="A71" s="1">
        <v>-9980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2">
        <v>0</v>
      </c>
      <c r="AD71" s="1">
        <v>0</v>
      </c>
      <c r="AE71" s="1">
        <v>0</v>
      </c>
      <c r="AF71" s="1">
        <v>0</v>
      </c>
      <c r="AG71" s="29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2">
        <v>0</v>
      </c>
      <c r="AP71" s="2">
        <v>0</v>
      </c>
      <c r="AQ71" s="2">
        <v>0</v>
      </c>
      <c r="AR71" s="2">
        <v>0</v>
      </c>
      <c r="AS71" s="1">
        <v>0</v>
      </c>
      <c r="AT71" s="2">
        <v>0</v>
      </c>
      <c r="AU71" s="15">
        <v>0</v>
      </c>
      <c r="AV71" s="15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1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6">
        <v>0</v>
      </c>
      <c r="BJ71" s="2">
        <v>0</v>
      </c>
      <c r="BK71" s="2">
        <v>0</v>
      </c>
      <c r="BL71" s="2">
        <v>0</v>
      </c>
      <c r="BM71" s="2">
        <v>0</v>
      </c>
      <c r="BN71" s="1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3">
        <v>0</v>
      </c>
      <c r="BX71" s="5">
        <v>0</v>
      </c>
      <c r="BY71" s="2">
        <v>0</v>
      </c>
      <c r="BZ71" s="2">
        <v>0</v>
      </c>
      <c r="CA71" s="2">
        <v>0</v>
      </c>
      <c r="CB71" s="2">
        <v>0</v>
      </c>
      <c r="CC71" s="2">
        <v>0</v>
      </c>
      <c r="CD71" s="2">
        <v>0</v>
      </c>
      <c r="CE71" s="2">
        <v>0</v>
      </c>
      <c r="CF71" s="2">
        <v>0</v>
      </c>
      <c r="CG71" s="2">
        <v>0</v>
      </c>
      <c r="CH71" s="2">
        <v>0</v>
      </c>
      <c r="CI71" s="2">
        <v>0</v>
      </c>
      <c r="CJ71" s="1">
        <v>0</v>
      </c>
      <c r="CK71" s="1">
        <v>0</v>
      </c>
      <c r="CL71" s="1">
        <v>0</v>
      </c>
      <c r="CM71" s="1">
        <v>0</v>
      </c>
      <c r="CN71" s="1">
        <v>0</v>
      </c>
      <c r="CO71" s="1">
        <v>0</v>
      </c>
      <c r="CP71" s="1">
        <v>0</v>
      </c>
      <c r="CQ71" s="1">
        <v>0</v>
      </c>
      <c r="CR71" s="1">
        <v>0</v>
      </c>
      <c r="CS71" s="1">
        <v>0</v>
      </c>
      <c r="CT71" s="1">
        <v>0</v>
      </c>
      <c r="CU71" s="1">
        <v>0</v>
      </c>
      <c r="CV71" s="1">
        <v>0</v>
      </c>
      <c r="CW71" s="1">
        <v>0</v>
      </c>
      <c r="CX71" s="1">
        <v>0</v>
      </c>
    </row>
    <row r="72" spans="1:102" ht="12.75" thickBot="1" x14ac:dyDescent="0.25">
      <c r="A72" s="1">
        <v>-9980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2">
        <v>0</v>
      </c>
      <c r="AD72" s="1">
        <v>0</v>
      </c>
      <c r="AE72" s="1">
        <v>0</v>
      </c>
      <c r="AF72" s="1">
        <v>0</v>
      </c>
      <c r="AG72" s="29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2">
        <v>0</v>
      </c>
      <c r="AP72" s="2">
        <v>0</v>
      </c>
      <c r="AQ72" s="2">
        <v>0</v>
      </c>
      <c r="AR72" s="2">
        <v>0</v>
      </c>
      <c r="AS72" s="1">
        <v>0</v>
      </c>
      <c r="AT72" s="2">
        <v>0</v>
      </c>
      <c r="AU72" s="15">
        <v>0</v>
      </c>
      <c r="AV72" s="15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1">
        <v>0</v>
      </c>
      <c r="BD72" s="2">
        <v>0</v>
      </c>
      <c r="BE72" s="2">
        <v>0</v>
      </c>
      <c r="BF72" s="2">
        <v>0</v>
      </c>
      <c r="BG72" s="3">
        <v>0</v>
      </c>
      <c r="BH72" s="5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1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6">
        <v>0</v>
      </c>
      <c r="BW72" s="6">
        <v>0</v>
      </c>
      <c r="BX72" s="2">
        <v>0</v>
      </c>
      <c r="BY72" s="2">
        <v>0</v>
      </c>
      <c r="BZ72" s="2">
        <v>0</v>
      </c>
      <c r="CA72" s="2">
        <v>0</v>
      </c>
      <c r="CB72" s="2">
        <v>0</v>
      </c>
      <c r="CC72" s="2">
        <v>0</v>
      </c>
      <c r="CD72" s="2">
        <v>0</v>
      </c>
      <c r="CE72" s="2">
        <v>0</v>
      </c>
      <c r="CF72" s="2">
        <v>0</v>
      </c>
      <c r="CG72" s="2">
        <v>0</v>
      </c>
      <c r="CH72" s="2">
        <v>0</v>
      </c>
      <c r="CI72" s="2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0</v>
      </c>
      <c r="CV72" s="1">
        <v>0</v>
      </c>
      <c r="CW72" s="1">
        <v>0</v>
      </c>
      <c r="CX72" s="1">
        <v>0</v>
      </c>
    </row>
    <row r="73" spans="1:102" ht="12.75" thickBot="1" x14ac:dyDescent="0.25">
      <c r="A73" s="1">
        <v>-9980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2">
        <v>0</v>
      </c>
      <c r="AD73" s="1">
        <v>0</v>
      </c>
      <c r="AE73" s="1">
        <v>0</v>
      </c>
      <c r="AF73" s="1">
        <v>0</v>
      </c>
      <c r="AG73" s="29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2">
        <v>0</v>
      </c>
      <c r="AP73" s="2">
        <v>0</v>
      </c>
      <c r="AQ73" s="2">
        <v>0</v>
      </c>
      <c r="AR73" s="2">
        <v>0</v>
      </c>
      <c r="AS73" s="1">
        <v>0</v>
      </c>
      <c r="AT73" s="2">
        <v>0</v>
      </c>
      <c r="AU73" s="15">
        <v>0</v>
      </c>
      <c r="AV73" s="15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1">
        <v>0</v>
      </c>
      <c r="BD73" s="2">
        <v>0</v>
      </c>
      <c r="BE73" s="2">
        <v>0</v>
      </c>
      <c r="BF73" s="3">
        <v>0</v>
      </c>
      <c r="BG73" s="7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1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9">
        <v>0</v>
      </c>
      <c r="BV73" s="6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2">
        <v>0</v>
      </c>
      <c r="CC73" s="2">
        <v>0</v>
      </c>
      <c r="CD73" s="2">
        <v>0</v>
      </c>
      <c r="CE73" s="2">
        <v>0</v>
      </c>
      <c r="CF73" s="2">
        <v>0</v>
      </c>
      <c r="CG73" s="2">
        <v>0</v>
      </c>
      <c r="CH73" s="2">
        <v>0</v>
      </c>
      <c r="CI73" s="2">
        <v>0</v>
      </c>
      <c r="CJ73" s="1">
        <v>0</v>
      </c>
      <c r="CK73" s="1">
        <v>0</v>
      </c>
      <c r="CL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  <c r="CW73" s="1">
        <v>0</v>
      </c>
      <c r="CX73" s="1">
        <v>0</v>
      </c>
    </row>
    <row r="74" spans="1:102" ht="12.75" thickBot="1" x14ac:dyDescent="0.25">
      <c r="A74" s="1">
        <v>-9980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2">
        <v>0</v>
      </c>
      <c r="AD74" s="1">
        <v>0</v>
      </c>
      <c r="AE74" s="1">
        <v>0</v>
      </c>
      <c r="AF74" s="1">
        <v>0</v>
      </c>
      <c r="AG74" s="29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2">
        <v>0</v>
      </c>
      <c r="AP74" s="2">
        <v>0</v>
      </c>
      <c r="AQ74" s="2">
        <v>0</v>
      </c>
      <c r="AR74" s="2">
        <v>0</v>
      </c>
      <c r="AS74" s="1">
        <v>0</v>
      </c>
      <c r="AT74" s="2">
        <v>0</v>
      </c>
      <c r="AU74" s="15">
        <v>0</v>
      </c>
      <c r="AV74" s="15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1">
        <v>0</v>
      </c>
      <c r="BD74" s="3">
        <v>0</v>
      </c>
      <c r="BE74" s="5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1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10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2">
        <v>0</v>
      </c>
      <c r="CC74" s="2">
        <v>0</v>
      </c>
      <c r="CD74" s="2">
        <v>0</v>
      </c>
      <c r="CE74" s="2">
        <v>0</v>
      </c>
      <c r="CF74" s="2">
        <v>0</v>
      </c>
      <c r="CG74" s="2">
        <v>0</v>
      </c>
      <c r="CH74" s="2">
        <v>0</v>
      </c>
      <c r="CI74" s="2">
        <v>0</v>
      </c>
      <c r="CJ74" s="1">
        <v>0</v>
      </c>
      <c r="CK74" s="1">
        <v>0</v>
      </c>
      <c r="CL74" s="1">
        <v>0</v>
      </c>
      <c r="CM74" s="1">
        <v>0</v>
      </c>
      <c r="CN74" s="1">
        <v>0</v>
      </c>
      <c r="CO74" s="1">
        <v>0</v>
      </c>
      <c r="CP74" s="1">
        <v>0</v>
      </c>
      <c r="CQ74" s="1">
        <v>0</v>
      </c>
      <c r="CR74" s="1">
        <v>0</v>
      </c>
      <c r="CS74" s="1">
        <v>0</v>
      </c>
      <c r="CT74" s="1">
        <v>0</v>
      </c>
      <c r="CU74" s="1">
        <v>0</v>
      </c>
      <c r="CV74" s="1">
        <v>0</v>
      </c>
      <c r="CW74" s="1">
        <v>0</v>
      </c>
      <c r="CX74" s="1">
        <v>0</v>
      </c>
    </row>
    <row r="75" spans="1:102" ht="12.75" thickBot="1" x14ac:dyDescent="0.25">
      <c r="A75" s="1">
        <v>-9980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2">
        <v>0</v>
      </c>
      <c r="AD75" s="1">
        <v>0</v>
      </c>
      <c r="AE75" s="1">
        <v>0</v>
      </c>
      <c r="AF75" s="1">
        <v>0</v>
      </c>
      <c r="AG75" s="29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2">
        <v>0</v>
      </c>
      <c r="AP75" s="2">
        <v>0</v>
      </c>
      <c r="AQ75" s="2">
        <v>0</v>
      </c>
      <c r="AR75" s="2">
        <v>0</v>
      </c>
      <c r="AS75" s="1">
        <v>0</v>
      </c>
      <c r="AT75" s="2">
        <v>0</v>
      </c>
      <c r="AU75" s="15">
        <v>0</v>
      </c>
      <c r="AV75" s="15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3">
        <v>0</v>
      </c>
      <c r="BC75" s="1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1">
        <v>0</v>
      </c>
      <c r="BO75" s="2">
        <v>0</v>
      </c>
      <c r="BP75" s="2">
        <v>0</v>
      </c>
      <c r="BQ75" s="2">
        <v>0</v>
      </c>
      <c r="BR75" s="2">
        <v>0</v>
      </c>
      <c r="BS75" s="3">
        <v>0</v>
      </c>
      <c r="BT75" s="5">
        <v>0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0</v>
      </c>
      <c r="CA75" s="2">
        <v>0</v>
      </c>
      <c r="CB75" s="2">
        <v>0</v>
      </c>
      <c r="CC75" s="2">
        <v>0</v>
      </c>
      <c r="CD75" s="2">
        <v>0</v>
      </c>
      <c r="CE75" s="2">
        <v>0</v>
      </c>
      <c r="CF75" s="2">
        <v>0</v>
      </c>
      <c r="CG75" s="2">
        <v>0</v>
      </c>
      <c r="CH75" s="2">
        <v>0</v>
      </c>
      <c r="CI75" s="2">
        <v>0</v>
      </c>
      <c r="CJ75" s="1">
        <v>0</v>
      </c>
      <c r="CK75" s="1">
        <v>0</v>
      </c>
      <c r="CL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  <c r="CW75" s="1">
        <v>0</v>
      </c>
      <c r="CX75" s="1">
        <v>0</v>
      </c>
    </row>
    <row r="76" spans="1:102" ht="12.75" thickBot="1" x14ac:dyDescent="0.25">
      <c r="A76" s="1">
        <v>-9980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2">
        <v>0</v>
      </c>
      <c r="AD76" s="1">
        <v>0</v>
      </c>
      <c r="AE76" s="1">
        <v>0</v>
      </c>
      <c r="AF76" s="1">
        <v>0</v>
      </c>
      <c r="AG76" s="29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2">
        <v>0</v>
      </c>
      <c r="AP76" s="2">
        <v>0</v>
      </c>
      <c r="AQ76" s="2">
        <v>0</v>
      </c>
      <c r="AR76" s="2">
        <v>0</v>
      </c>
      <c r="AS76" s="1">
        <v>0</v>
      </c>
      <c r="AT76" s="2">
        <v>0</v>
      </c>
      <c r="AU76" s="15">
        <v>0</v>
      </c>
      <c r="AV76" s="15">
        <v>0</v>
      </c>
      <c r="AW76" s="2">
        <v>0</v>
      </c>
      <c r="AX76" s="2">
        <v>0</v>
      </c>
      <c r="AY76" s="3">
        <v>0</v>
      </c>
      <c r="AZ76" s="4">
        <v>0</v>
      </c>
      <c r="BA76" s="5">
        <v>0</v>
      </c>
      <c r="BB76" s="2">
        <v>0</v>
      </c>
      <c r="BC76" s="1">
        <v>0</v>
      </c>
      <c r="BD76" s="2">
        <v>0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  <c r="BL76" s="2">
        <v>0</v>
      </c>
      <c r="BM76" s="2">
        <v>0</v>
      </c>
      <c r="BN76" s="1">
        <v>0</v>
      </c>
      <c r="BO76" s="2">
        <v>0</v>
      </c>
      <c r="BP76" s="2">
        <v>0</v>
      </c>
      <c r="BQ76" s="2">
        <v>0</v>
      </c>
      <c r="BR76" s="3">
        <v>0</v>
      </c>
      <c r="BS76" s="5">
        <v>0</v>
      </c>
      <c r="BT76" s="2">
        <v>0</v>
      </c>
      <c r="BU76" s="2">
        <v>0</v>
      </c>
      <c r="BV76" s="2">
        <v>0</v>
      </c>
      <c r="BW76" s="2">
        <v>0</v>
      </c>
      <c r="BX76" s="2">
        <v>0</v>
      </c>
      <c r="BY76" s="2">
        <v>0</v>
      </c>
      <c r="BZ76" s="2">
        <v>0</v>
      </c>
      <c r="CA76" s="2">
        <v>0</v>
      </c>
      <c r="CB76" s="2">
        <v>0</v>
      </c>
      <c r="CC76" s="2">
        <v>0</v>
      </c>
      <c r="CD76" s="2">
        <v>0</v>
      </c>
      <c r="CE76" s="2">
        <v>0</v>
      </c>
      <c r="CF76" s="2">
        <v>0</v>
      </c>
      <c r="CG76" s="2">
        <v>0</v>
      </c>
      <c r="CH76" s="2">
        <v>0</v>
      </c>
      <c r="CI76" s="2">
        <v>0</v>
      </c>
      <c r="CJ76" s="1">
        <v>0</v>
      </c>
      <c r="CK76" s="1">
        <v>0</v>
      </c>
      <c r="CL76" s="1">
        <v>0</v>
      </c>
      <c r="CM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T76" s="1">
        <v>0</v>
      </c>
      <c r="CU76" s="1">
        <v>0</v>
      </c>
      <c r="CV76" s="1">
        <v>0</v>
      </c>
      <c r="CW76" s="1">
        <v>0</v>
      </c>
      <c r="CX76" s="1">
        <v>0</v>
      </c>
    </row>
    <row r="77" spans="1:102" ht="12.75" thickBot="1" x14ac:dyDescent="0.25">
      <c r="A77" s="1">
        <v>-9980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2">
        <v>0</v>
      </c>
      <c r="AD77" s="1">
        <v>0</v>
      </c>
      <c r="AE77" s="1">
        <v>0</v>
      </c>
      <c r="AF77" s="1">
        <v>0</v>
      </c>
      <c r="AG77" s="29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2">
        <v>0</v>
      </c>
      <c r="AP77" s="2">
        <v>0</v>
      </c>
      <c r="AQ77" s="2">
        <v>0</v>
      </c>
      <c r="AR77" s="2">
        <v>0</v>
      </c>
      <c r="AS77" s="1">
        <v>0</v>
      </c>
      <c r="AT77" s="2">
        <v>0</v>
      </c>
      <c r="AU77" s="2">
        <v>0</v>
      </c>
      <c r="AV77" s="14">
        <v>0</v>
      </c>
      <c r="AW77" s="4">
        <v>0</v>
      </c>
      <c r="AX77" s="4">
        <v>0</v>
      </c>
      <c r="AY77" s="5">
        <v>0</v>
      </c>
      <c r="AZ77" s="2">
        <v>0</v>
      </c>
      <c r="BA77" s="2">
        <v>0</v>
      </c>
      <c r="BB77" s="2">
        <v>0</v>
      </c>
      <c r="BC77" s="1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1">
        <v>0</v>
      </c>
      <c r="BO77" s="2">
        <v>0</v>
      </c>
      <c r="BP77" s="2">
        <v>0</v>
      </c>
      <c r="BQ77" s="3">
        <v>0</v>
      </c>
      <c r="BR77" s="5"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>
        <v>0</v>
      </c>
      <c r="BZ77" s="2">
        <v>0</v>
      </c>
      <c r="CA77" s="2">
        <v>0</v>
      </c>
      <c r="CB77" s="2">
        <v>0</v>
      </c>
      <c r="CC77" s="2">
        <v>0</v>
      </c>
      <c r="CD77" s="2">
        <v>0</v>
      </c>
      <c r="CE77" s="2">
        <v>0</v>
      </c>
      <c r="CF77" s="2">
        <v>0</v>
      </c>
      <c r="CG77" s="2">
        <v>0</v>
      </c>
      <c r="CH77" s="2">
        <v>0</v>
      </c>
      <c r="CI77" s="2">
        <v>0</v>
      </c>
      <c r="CJ77" s="1">
        <v>0</v>
      </c>
      <c r="CK77" s="1">
        <v>0</v>
      </c>
      <c r="CL77" s="1">
        <v>0</v>
      </c>
      <c r="CM77" s="1">
        <v>0</v>
      </c>
      <c r="CN77" s="1">
        <v>0</v>
      </c>
      <c r="CO77" s="1">
        <v>0</v>
      </c>
      <c r="CP77" s="1">
        <v>0</v>
      </c>
      <c r="CQ77" s="1">
        <v>0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  <c r="CX77" s="1">
        <v>0</v>
      </c>
    </row>
    <row r="78" spans="1:102" ht="12.75" thickBot="1" x14ac:dyDescent="0.25">
      <c r="A78" s="1">
        <v>-9980</v>
      </c>
      <c r="B78" s="1">
        <v>0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2">
        <v>0</v>
      </c>
      <c r="AD78" s="1">
        <v>0</v>
      </c>
      <c r="AE78" s="1">
        <v>0</v>
      </c>
      <c r="AF78" s="1">
        <v>0</v>
      </c>
      <c r="AG78" s="29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2">
        <v>0</v>
      </c>
      <c r="AP78" s="2">
        <v>0</v>
      </c>
      <c r="AQ78" s="2">
        <v>0</v>
      </c>
      <c r="AR78" s="3">
        <v>0</v>
      </c>
      <c r="AS78" s="1">
        <v>0</v>
      </c>
      <c r="AT78" s="4">
        <v>0</v>
      </c>
      <c r="AU78" s="4">
        <v>0</v>
      </c>
      <c r="AV78" s="13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1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  <c r="BM78" s="2">
        <v>0</v>
      </c>
      <c r="BN78" s="1">
        <v>0</v>
      </c>
      <c r="BO78" s="2">
        <v>0</v>
      </c>
      <c r="BP78" s="3">
        <v>0</v>
      </c>
      <c r="BQ78" s="5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>
        <v>0</v>
      </c>
      <c r="BZ78" s="2">
        <v>0</v>
      </c>
      <c r="CA78" s="2">
        <v>0</v>
      </c>
      <c r="CB78" s="2">
        <v>0</v>
      </c>
      <c r="CC78" s="2">
        <v>0</v>
      </c>
      <c r="CD78" s="2">
        <v>0</v>
      </c>
      <c r="CE78" s="2">
        <v>0</v>
      </c>
      <c r="CF78" s="2">
        <v>0</v>
      </c>
      <c r="CG78" s="2">
        <v>0</v>
      </c>
      <c r="CH78" s="2">
        <v>0</v>
      </c>
      <c r="CI78" s="2">
        <v>0</v>
      </c>
      <c r="CJ78" s="1">
        <v>0</v>
      </c>
      <c r="CK78" s="1">
        <v>0</v>
      </c>
      <c r="CL78" s="1">
        <v>0</v>
      </c>
      <c r="CM78" s="1">
        <v>0</v>
      </c>
      <c r="CN78" s="1">
        <v>0</v>
      </c>
      <c r="CO78" s="1">
        <v>0</v>
      </c>
      <c r="CP78" s="1">
        <v>0</v>
      </c>
      <c r="CQ78" s="1">
        <v>0</v>
      </c>
      <c r="CR78" s="1">
        <v>0</v>
      </c>
      <c r="CS78" s="1">
        <v>0</v>
      </c>
      <c r="CT78" s="1">
        <v>0</v>
      </c>
      <c r="CU78" s="1">
        <v>0</v>
      </c>
      <c r="CV78" s="1">
        <v>0</v>
      </c>
      <c r="CW78" s="1">
        <v>0</v>
      </c>
      <c r="CX78" s="1">
        <v>0</v>
      </c>
    </row>
    <row r="79" spans="1:102" ht="12.75" thickBot="1" x14ac:dyDescent="0.25">
      <c r="A79" s="1">
        <v>-9980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2">
        <v>0</v>
      </c>
      <c r="AD79" s="1">
        <v>0</v>
      </c>
      <c r="AE79" s="1">
        <v>0</v>
      </c>
      <c r="AF79" s="1">
        <v>0</v>
      </c>
      <c r="AG79" s="29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4">
        <v>0</v>
      </c>
      <c r="AP79" s="4">
        <v>0</v>
      </c>
      <c r="AQ79" s="5">
        <v>0</v>
      </c>
      <c r="AR79" s="2">
        <v>0</v>
      </c>
      <c r="AS79" s="1">
        <v>0</v>
      </c>
      <c r="AT79" s="2">
        <v>0</v>
      </c>
      <c r="AU79" s="2">
        <v>0</v>
      </c>
      <c r="AV79" s="15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1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  <c r="BL79" s="2">
        <v>0</v>
      </c>
      <c r="BM79" s="2">
        <v>0</v>
      </c>
      <c r="BN79" s="1">
        <v>0</v>
      </c>
      <c r="BO79" s="6">
        <v>0</v>
      </c>
      <c r="BP79" s="2">
        <v>0</v>
      </c>
      <c r="BQ79" s="2">
        <v>0</v>
      </c>
      <c r="BR79" s="2">
        <v>0</v>
      </c>
      <c r="BS79" s="2">
        <v>0</v>
      </c>
      <c r="BT79" s="2">
        <v>0</v>
      </c>
      <c r="BU79" s="2">
        <v>0</v>
      </c>
      <c r="BV79" s="2">
        <v>0</v>
      </c>
      <c r="BW79" s="2">
        <v>0</v>
      </c>
      <c r="BX79" s="2">
        <v>0</v>
      </c>
      <c r="BY79" s="2">
        <v>0</v>
      </c>
      <c r="BZ79" s="2">
        <v>0</v>
      </c>
      <c r="CA79" s="2">
        <v>0</v>
      </c>
      <c r="CB79" s="2">
        <v>0</v>
      </c>
      <c r="CC79" s="2">
        <v>0</v>
      </c>
      <c r="CD79" s="2">
        <v>0</v>
      </c>
      <c r="CE79" s="2">
        <v>0</v>
      </c>
      <c r="CF79" s="2">
        <v>0</v>
      </c>
      <c r="CG79" s="2">
        <v>0</v>
      </c>
      <c r="CH79" s="2">
        <v>0</v>
      </c>
      <c r="CI79" s="2">
        <v>0</v>
      </c>
      <c r="CJ79" s="1">
        <v>0</v>
      </c>
      <c r="CK79" s="1">
        <v>0</v>
      </c>
      <c r="CL79" s="1">
        <v>0</v>
      </c>
      <c r="CM79" s="1">
        <v>0</v>
      </c>
      <c r="CN79" s="1">
        <v>0</v>
      </c>
      <c r="CO79" s="1">
        <v>0</v>
      </c>
      <c r="CP79" s="1">
        <v>0</v>
      </c>
      <c r="CQ79" s="1">
        <v>0</v>
      </c>
      <c r="CR79" s="1">
        <v>0</v>
      </c>
      <c r="CS79" s="1">
        <v>0</v>
      </c>
      <c r="CT79" s="1">
        <v>0</v>
      </c>
      <c r="CU79" s="1">
        <v>0</v>
      </c>
      <c r="CV79" s="1">
        <v>0</v>
      </c>
      <c r="CW79" s="1">
        <v>0</v>
      </c>
      <c r="CX79" s="1">
        <v>0</v>
      </c>
    </row>
    <row r="80" spans="1:102" ht="12.75" thickBot="1" x14ac:dyDescent="0.25">
      <c r="A80" s="1">
        <v>-9980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2">
        <v>0</v>
      </c>
      <c r="AD80" s="1">
        <v>0</v>
      </c>
      <c r="AE80" s="1">
        <v>0</v>
      </c>
      <c r="AF80" s="1">
        <v>0</v>
      </c>
      <c r="AG80" s="29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2">
        <v>0</v>
      </c>
      <c r="AP80" s="2">
        <v>0</v>
      </c>
      <c r="AQ80" s="22">
        <v>0</v>
      </c>
      <c r="AR80" s="22">
        <v>0</v>
      </c>
      <c r="AS80" s="1">
        <v>0</v>
      </c>
      <c r="AT80" s="2">
        <v>0</v>
      </c>
      <c r="AU80" s="22">
        <v>0</v>
      </c>
      <c r="AV80" s="22">
        <v>0</v>
      </c>
      <c r="AW80" s="2">
        <v>0</v>
      </c>
      <c r="AX80" s="22">
        <v>0</v>
      </c>
      <c r="AY80" s="22">
        <v>0</v>
      </c>
      <c r="AZ80" s="22">
        <v>0</v>
      </c>
      <c r="BA80" s="22">
        <v>0</v>
      </c>
      <c r="BB80" s="22">
        <v>0</v>
      </c>
      <c r="BC80" s="1">
        <v>0</v>
      </c>
      <c r="BD80" s="2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  <c r="BL80" s="2">
        <v>0</v>
      </c>
      <c r="BM80" s="3">
        <v>0</v>
      </c>
      <c r="BN80" s="1">
        <v>0</v>
      </c>
      <c r="BO80" s="2">
        <v>0</v>
      </c>
      <c r="BP80" s="2">
        <v>0</v>
      </c>
      <c r="BQ80" s="2">
        <v>0</v>
      </c>
      <c r="BR80" s="2"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2">
        <v>0</v>
      </c>
      <c r="CB80" s="2">
        <v>0</v>
      </c>
      <c r="CC80" s="2">
        <v>0</v>
      </c>
      <c r="CD80" s="2">
        <v>0</v>
      </c>
      <c r="CE80" s="2">
        <v>0</v>
      </c>
      <c r="CF80" s="2">
        <v>0</v>
      </c>
      <c r="CG80" s="2">
        <v>0</v>
      </c>
      <c r="CH80" s="2">
        <v>0</v>
      </c>
      <c r="CI80" s="2">
        <v>0</v>
      </c>
      <c r="CJ80" s="1">
        <v>0</v>
      </c>
      <c r="CK80" s="1">
        <v>0</v>
      </c>
      <c r="CL80" s="1">
        <v>0</v>
      </c>
      <c r="CM80" s="1">
        <v>0</v>
      </c>
      <c r="CN80" s="1">
        <v>0</v>
      </c>
      <c r="CO80" s="1">
        <v>0</v>
      </c>
      <c r="CP80" s="1">
        <v>0</v>
      </c>
      <c r="CQ80" s="1">
        <v>0</v>
      </c>
      <c r="CR80" s="1">
        <v>0</v>
      </c>
      <c r="CS80" s="1">
        <v>0</v>
      </c>
      <c r="CT80" s="1">
        <v>0</v>
      </c>
      <c r="CU80" s="1">
        <v>0</v>
      </c>
      <c r="CV80" s="1">
        <v>0</v>
      </c>
      <c r="CW80" s="1">
        <v>0</v>
      </c>
      <c r="CX80" s="1">
        <v>0</v>
      </c>
    </row>
    <row r="81" spans="1:102" ht="12.75" thickBot="1" x14ac:dyDescent="0.25">
      <c r="A81" s="1">
        <v>-9980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2">
        <v>0</v>
      </c>
      <c r="AD81" s="1">
        <v>0</v>
      </c>
      <c r="AE81" s="1">
        <v>0</v>
      </c>
      <c r="AF81" s="1">
        <v>0</v>
      </c>
      <c r="AG81" s="29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2">
        <v>0</v>
      </c>
      <c r="AP81" s="2">
        <v>0</v>
      </c>
      <c r="AQ81" s="22">
        <v>0</v>
      </c>
      <c r="AR81" s="22">
        <v>0</v>
      </c>
      <c r="AS81" s="1">
        <v>0</v>
      </c>
      <c r="AT81" s="2">
        <v>0</v>
      </c>
      <c r="AU81" s="22">
        <v>0</v>
      </c>
      <c r="AV81" s="22">
        <v>0</v>
      </c>
      <c r="AW81" s="2">
        <v>0</v>
      </c>
      <c r="AX81" s="22">
        <v>0</v>
      </c>
      <c r="AY81" s="22">
        <v>0</v>
      </c>
      <c r="AZ81" s="22">
        <v>0</v>
      </c>
      <c r="BA81" s="22">
        <v>0</v>
      </c>
      <c r="BB81" s="22">
        <v>0</v>
      </c>
      <c r="BC81" s="1">
        <v>0</v>
      </c>
      <c r="BD81" s="2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3">
        <v>0</v>
      </c>
      <c r="BM81" s="5">
        <v>0</v>
      </c>
      <c r="BN81" s="1">
        <v>0</v>
      </c>
      <c r="BO81" s="2">
        <v>0</v>
      </c>
      <c r="BP81" s="2">
        <v>0</v>
      </c>
      <c r="BQ81" s="2">
        <v>0</v>
      </c>
      <c r="BR81" s="2">
        <v>0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2">
        <v>0</v>
      </c>
      <c r="CB81" s="2">
        <v>0</v>
      </c>
      <c r="CC81" s="2">
        <v>0</v>
      </c>
      <c r="CD81" s="2">
        <v>0</v>
      </c>
      <c r="CE81" s="2">
        <v>0</v>
      </c>
      <c r="CF81" s="2">
        <v>0</v>
      </c>
      <c r="CG81" s="2">
        <v>0</v>
      </c>
      <c r="CH81" s="2">
        <v>0</v>
      </c>
      <c r="CI81" s="2">
        <v>0</v>
      </c>
      <c r="CJ81" s="1">
        <v>0</v>
      </c>
      <c r="CK81" s="1">
        <v>0</v>
      </c>
      <c r="CL81" s="1">
        <v>0</v>
      </c>
      <c r="CM81" s="1">
        <v>0</v>
      </c>
      <c r="CN81" s="1">
        <v>0</v>
      </c>
      <c r="CO81" s="1">
        <v>0</v>
      </c>
      <c r="CP81" s="1">
        <v>0</v>
      </c>
      <c r="CQ81" s="1">
        <v>0</v>
      </c>
      <c r="CR81" s="1">
        <v>0</v>
      </c>
      <c r="CS81" s="1">
        <v>0</v>
      </c>
      <c r="CT81" s="1">
        <v>0</v>
      </c>
      <c r="CU81" s="1">
        <v>0</v>
      </c>
      <c r="CV81" s="1">
        <v>0</v>
      </c>
      <c r="CW81" s="1">
        <v>0</v>
      </c>
      <c r="CX81" s="1">
        <v>0</v>
      </c>
    </row>
    <row r="82" spans="1:102" ht="12.75" thickBot="1" x14ac:dyDescent="0.25">
      <c r="A82" s="1">
        <v>-9980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2">
        <v>0</v>
      </c>
      <c r="AD82" s="1">
        <v>0</v>
      </c>
      <c r="AE82" s="1">
        <v>0</v>
      </c>
      <c r="AF82" s="1">
        <v>0</v>
      </c>
      <c r="AG82" s="29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2">
        <v>0</v>
      </c>
      <c r="AP82" s="2">
        <v>0</v>
      </c>
      <c r="AQ82" s="22">
        <v>0</v>
      </c>
      <c r="AR82" s="22">
        <v>0</v>
      </c>
      <c r="AS82" s="1">
        <v>0</v>
      </c>
      <c r="AT82" s="2">
        <v>0</v>
      </c>
      <c r="AU82" s="22">
        <v>0</v>
      </c>
      <c r="AV82" s="22">
        <v>0</v>
      </c>
      <c r="AW82" s="2">
        <v>0</v>
      </c>
      <c r="AX82" s="22">
        <v>0</v>
      </c>
      <c r="AY82" s="22">
        <v>0</v>
      </c>
      <c r="AZ82" s="22">
        <v>0</v>
      </c>
      <c r="BA82" s="22">
        <v>0</v>
      </c>
      <c r="BB82" s="22">
        <v>0</v>
      </c>
      <c r="BC82" s="1">
        <v>0</v>
      </c>
      <c r="BD82" s="2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3">
        <v>0</v>
      </c>
      <c r="BK82" s="5">
        <v>0</v>
      </c>
      <c r="BL82" s="2">
        <v>0</v>
      </c>
      <c r="BM82" s="2">
        <v>0</v>
      </c>
      <c r="BN82" s="1">
        <v>0</v>
      </c>
      <c r="BO82" s="2">
        <v>0</v>
      </c>
      <c r="BP82" s="2">
        <v>0</v>
      </c>
      <c r="BQ82" s="2">
        <v>0</v>
      </c>
      <c r="BR82" s="2">
        <v>0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2">
        <v>0</v>
      </c>
      <c r="CB82" s="2">
        <v>0</v>
      </c>
      <c r="CC82" s="2">
        <v>0</v>
      </c>
      <c r="CD82" s="2">
        <v>0</v>
      </c>
      <c r="CE82" s="2">
        <v>0</v>
      </c>
      <c r="CF82" s="2">
        <v>0</v>
      </c>
      <c r="CG82" s="2">
        <v>0</v>
      </c>
      <c r="CH82" s="2">
        <v>0</v>
      </c>
      <c r="CI82" s="2">
        <v>0</v>
      </c>
      <c r="CJ82" s="1">
        <v>0</v>
      </c>
      <c r="CK82" s="1">
        <v>0</v>
      </c>
      <c r="CL82" s="1">
        <v>0</v>
      </c>
      <c r="CM82" s="1">
        <v>0</v>
      </c>
      <c r="CN82" s="1">
        <v>0</v>
      </c>
      <c r="CO82" s="1">
        <v>0</v>
      </c>
      <c r="CP82" s="1">
        <v>0</v>
      </c>
      <c r="CQ82" s="1">
        <v>0</v>
      </c>
      <c r="CR82" s="1">
        <v>0</v>
      </c>
      <c r="CS82" s="1">
        <v>0</v>
      </c>
      <c r="CT82" s="1">
        <v>0</v>
      </c>
      <c r="CU82" s="1">
        <v>0</v>
      </c>
      <c r="CV82" s="1">
        <v>0</v>
      </c>
      <c r="CW82" s="1">
        <v>0</v>
      </c>
      <c r="CX82" s="1">
        <v>0</v>
      </c>
    </row>
    <row r="83" spans="1:102" ht="12.75" thickBot="1" x14ac:dyDescent="0.25">
      <c r="A83" s="1">
        <v>-9980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2">
        <v>0</v>
      </c>
      <c r="AD83" s="1">
        <v>0</v>
      </c>
      <c r="AE83" s="1">
        <v>0</v>
      </c>
      <c r="AF83" s="1">
        <v>0</v>
      </c>
      <c r="AG83" s="29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2">
        <v>0</v>
      </c>
      <c r="AP83" s="2">
        <v>0</v>
      </c>
      <c r="AQ83" s="22">
        <v>0</v>
      </c>
      <c r="AR83" s="22">
        <v>0</v>
      </c>
      <c r="AS83" s="1">
        <v>0</v>
      </c>
      <c r="AT83" s="2">
        <v>0</v>
      </c>
      <c r="AU83" s="22">
        <v>0</v>
      </c>
      <c r="AV83" s="22">
        <v>0</v>
      </c>
      <c r="AW83" s="2">
        <v>0</v>
      </c>
      <c r="AX83" s="22">
        <v>0</v>
      </c>
      <c r="AY83" s="22">
        <v>0</v>
      </c>
      <c r="AZ83" s="22">
        <v>0</v>
      </c>
      <c r="BA83" s="22">
        <v>0</v>
      </c>
      <c r="BB83" s="22">
        <v>0</v>
      </c>
      <c r="BC83" s="1">
        <v>0</v>
      </c>
      <c r="BD83" s="22">
        <v>0</v>
      </c>
      <c r="BE83" s="2">
        <v>0</v>
      </c>
      <c r="BF83" s="2">
        <v>0</v>
      </c>
      <c r="BG83" s="2">
        <v>0</v>
      </c>
      <c r="BH83" s="3">
        <v>0</v>
      </c>
      <c r="BI83" s="5">
        <v>0</v>
      </c>
      <c r="BJ83" s="2">
        <v>0</v>
      </c>
      <c r="BK83" s="2">
        <v>0</v>
      </c>
      <c r="BL83" s="2">
        <v>0</v>
      </c>
      <c r="BM83" s="2">
        <v>0</v>
      </c>
      <c r="BN83" s="1">
        <v>0</v>
      </c>
      <c r="BO83" s="2">
        <v>0</v>
      </c>
      <c r="BP83" s="2">
        <v>0</v>
      </c>
      <c r="BQ83" s="2">
        <v>0</v>
      </c>
      <c r="BR83" s="2"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2">
        <v>0</v>
      </c>
      <c r="CB83" s="2">
        <v>0</v>
      </c>
      <c r="CC83" s="2">
        <v>0</v>
      </c>
      <c r="CD83" s="2">
        <v>0</v>
      </c>
      <c r="CE83" s="2">
        <v>0</v>
      </c>
      <c r="CF83" s="2">
        <v>0</v>
      </c>
      <c r="CG83" s="2">
        <v>0</v>
      </c>
      <c r="CH83" s="2">
        <v>0</v>
      </c>
      <c r="CI83" s="2">
        <v>0</v>
      </c>
      <c r="CJ83" s="1">
        <v>0</v>
      </c>
      <c r="CK83" s="1">
        <v>0</v>
      </c>
      <c r="CL83" s="1">
        <v>0</v>
      </c>
      <c r="CM83" s="1">
        <v>0</v>
      </c>
      <c r="CN83" s="1">
        <v>0</v>
      </c>
      <c r="CO83" s="1">
        <v>0</v>
      </c>
      <c r="CP83" s="1">
        <v>0</v>
      </c>
      <c r="CQ83" s="1">
        <v>0</v>
      </c>
      <c r="CR83" s="1">
        <v>0</v>
      </c>
      <c r="CS83" s="1">
        <v>0</v>
      </c>
      <c r="CT83" s="1">
        <v>0</v>
      </c>
      <c r="CU83" s="1">
        <v>0</v>
      </c>
      <c r="CV83" s="1">
        <v>0</v>
      </c>
      <c r="CW83" s="1">
        <v>0</v>
      </c>
      <c r="CX83" s="1">
        <v>0</v>
      </c>
    </row>
    <row r="84" spans="1:102" ht="12.75" thickBot="1" x14ac:dyDescent="0.25">
      <c r="A84" s="1">
        <v>-9980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2">
        <v>0</v>
      </c>
      <c r="AD84" s="1">
        <v>0</v>
      </c>
      <c r="AE84" s="1">
        <v>0</v>
      </c>
      <c r="AF84" s="1">
        <v>0</v>
      </c>
      <c r="AG84" s="29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2">
        <v>0</v>
      </c>
      <c r="AP84" s="2">
        <v>0</v>
      </c>
      <c r="AQ84" s="22">
        <v>0</v>
      </c>
      <c r="AR84" s="22">
        <v>0</v>
      </c>
      <c r="AS84" s="1">
        <v>0</v>
      </c>
      <c r="AT84" s="2">
        <v>0</v>
      </c>
      <c r="AU84" s="22">
        <v>0</v>
      </c>
      <c r="AV84" s="22">
        <v>0</v>
      </c>
      <c r="AW84" s="2">
        <v>0</v>
      </c>
      <c r="AX84" s="22">
        <v>0</v>
      </c>
      <c r="AY84" s="22">
        <v>0</v>
      </c>
      <c r="AZ84" s="22">
        <v>0</v>
      </c>
      <c r="BA84" s="22">
        <v>0</v>
      </c>
      <c r="BB84" s="22">
        <v>0</v>
      </c>
      <c r="BC84" s="1">
        <v>0</v>
      </c>
      <c r="BD84" s="22">
        <v>0</v>
      </c>
      <c r="BE84" s="2">
        <v>0</v>
      </c>
      <c r="BF84" s="3">
        <v>0</v>
      </c>
      <c r="BG84" s="5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1">
        <v>0</v>
      </c>
      <c r="BO84" s="2">
        <v>0</v>
      </c>
      <c r="BP84" s="2">
        <v>0</v>
      </c>
      <c r="BQ84" s="2">
        <v>0</v>
      </c>
      <c r="BR84" s="2">
        <v>0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2">
        <v>0</v>
      </c>
      <c r="CB84" s="2">
        <v>0</v>
      </c>
      <c r="CC84" s="2">
        <v>0</v>
      </c>
      <c r="CD84" s="2">
        <v>0</v>
      </c>
      <c r="CE84" s="2">
        <v>0</v>
      </c>
      <c r="CF84" s="2">
        <v>0</v>
      </c>
      <c r="CG84" s="2">
        <v>0</v>
      </c>
      <c r="CH84" s="2">
        <v>0</v>
      </c>
      <c r="CI84" s="2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</row>
    <row r="85" spans="1:102" ht="12.75" thickBot="1" x14ac:dyDescent="0.25">
      <c r="A85" s="1">
        <v>-9980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2">
        <v>0</v>
      </c>
      <c r="AD85" s="1">
        <v>0</v>
      </c>
      <c r="AE85" s="1">
        <v>0</v>
      </c>
      <c r="AF85" s="1">
        <v>0</v>
      </c>
      <c r="AG85" s="29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2">
        <v>0</v>
      </c>
      <c r="AP85" s="2">
        <v>0</v>
      </c>
      <c r="AQ85" s="22">
        <v>0</v>
      </c>
      <c r="AR85" s="22">
        <v>0</v>
      </c>
      <c r="AS85" s="1">
        <v>0</v>
      </c>
      <c r="AT85" s="2">
        <v>0</v>
      </c>
      <c r="AU85" s="22">
        <v>0</v>
      </c>
      <c r="AV85" s="22">
        <v>0</v>
      </c>
      <c r="AW85" s="2">
        <v>0</v>
      </c>
      <c r="AX85" s="22">
        <v>0</v>
      </c>
      <c r="AY85" s="22">
        <v>0</v>
      </c>
      <c r="AZ85" s="22">
        <v>0</v>
      </c>
      <c r="BA85" s="22">
        <v>0</v>
      </c>
      <c r="BB85" s="22">
        <v>0</v>
      </c>
      <c r="BC85" s="1">
        <v>0</v>
      </c>
      <c r="BD85" s="3">
        <v>0</v>
      </c>
      <c r="BE85" s="5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1">
        <v>0</v>
      </c>
      <c r="BO85" s="2">
        <v>0</v>
      </c>
      <c r="BP85" s="2">
        <v>0</v>
      </c>
      <c r="BQ85" s="2">
        <v>0</v>
      </c>
      <c r="BR85" s="2">
        <v>0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0</v>
      </c>
      <c r="CF85" s="2">
        <v>0</v>
      </c>
      <c r="CG85" s="2">
        <v>0</v>
      </c>
      <c r="CH85" s="2">
        <v>0</v>
      </c>
      <c r="CI85" s="2">
        <v>0</v>
      </c>
      <c r="CJ85" s="1">
        <v>0</v>
      </c>
      <c r="CK85" s="1">
        <v>0</v>
      </c>
      <c r="CL85" s="1">
        <v>0</v>
      </c>
      <c r="CM85" s="1">
        <v>0</v>
      </c>
      <c r="CN85" s="1">
        <v>0</v>
      </c>
      <c r="CO85" s="1">
        <v>0</v>
      </c>
      <c r="CP85" s="1">
        <v>0</v>
      </c>
      <c r="CQ85" s="1">
        <v>0</v>
      </c>
      <c r="CR85" s="1">
        <v>0</v>
      </c>
      <c r="CS85" s="1">
        <v>0</v>
      </c>
      <c r="CT85" s="1">
        <v>0</v>
      </c>
      <c r="CU85" s="1">
        <v>0</v>
      </c>
      <c r="CV85" s="1">
        <v>0</v>
      </c>
      <c r="CW85" s="1">
        <v>0</v>
      </c>
      <c r="CX85" s="1">
        <v>0</v>
      </c>
    </row>
    <row r="86" spans="1:102" ht="12.75" thickBot="1" x14ac:dyDescent="0.25">
      <c r="A86" s="1">
        <v>-9980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2">
        <v>0</v>
      </c>
      <c r="AD86" s="1">
        <v>0</v>
      </c>
      <c r="AE86" s="1">
        <v>0</v>
      </c>
      <c r="AF86" s="1">
        <v>0</v>
      </c>
      <c r="AG86" s="29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2">
        <v>0</v>
      </c>
      <c r="AP86" s="2">
        <v>0</v>
      </c>
      <c r="AQ86" s="22">
        <v>0</v>
      </c>
      <c r="AR86" s="22">
        <v>0</v>
      </c>
      <c r="AS86" s="1">
        <v>0</v>
      </c>
      <c r="AT86" s="2">
        <v>0</v>
      </c>
      <c r="AU86" s="22">
        <v>0</v>
      </c>
      <c r="AV86" s="22">
        <v>0</v>
      </c>
      <c r="AW86" s="2">
        <v>0</v>
      </c>
      <c r="AX86" s="22">
        <v>0</v>
      </c>
      <c r="AY86" s="22">
        <v>0</v>
      </c>
      <c r="AZ86" s="22">
        <v>0</v>
      </c>
      <c r="BA86" s="3">
        <v>0</v>
      </c>
      <c r="BB86" s="4">
        <v>0</v>
      </c>
      <c r="BC86" s="1">
        <v>0</v>
      </c>
      <c r="BD86" s="2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1">
        <v>0</v>
      </c>
      <c r="BO86" s="2">
        <v>0</v>
      </c>
      <c r="BP86" s="2">
        <v>0</v>
      </c>
      <c r="BQ86" s="2">
        <v>0</v>
      </c>
      <c r="BR86" s="2">
        <v>0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2">
        <v>0</v>
      </c>
      <c r="CB86" s="2">
        <v>0</v>
      </c>
      <c r="CC86" s="2">
        <v>0</v>
      </c>
      <c r="CD86" s="2">
        <v>0</v>
      </c>
      <c r="CE86" s="2">
        <v>0</v>
      </c>
      <c r="CF86" s="2">
        <v>0</v>
      </c>
      <c r="CG86" s="2">
        <v>0</v>
      </c>
      <c r="CH86" s="2">
        <v>0</v>
      </c>
      <c r="CI86" s="2">
        <v>0</v>
      </c>
      <c r="CJ86" s="1">
        <v>0</v>
      </c>
      <c r="CK86" s="1">
        <v>0</v>
      </c>
      <c r="CL86" s="1">
        <v>0</v>
      </c>
      <c r="CM86" s="1">
        <v>0</v>
      </c>
      <c r="CN86" s="1">
        <v>0</v>
      </c>
      <c r="CO86" s="1">
        <v>0</v>
      </c>
      <c r="CP86" s="1">
        <v>0</v>
      </c>
      <c r="CQ86" s="1">
        <v>0</v>
      </c>
      <c r="CR86" s="1">
        <v>0</v>
      </c>
      <c r="CS86" s="1">
        <v>0</v>
      </c>
      <c r="CT86" s="1">
        <v>0</v>
      </c>
      <c r="CU86" s="1">
        <v>0</v>
      </c>
      <c r="CV86" s="1">
        <v>0</v>
      </c>
      <c r="CW86" s="1">
        <v>0</v>
      </c>
      <c r="CX86" s="1">
        <v>0</v>
      </c>
    </row>
    <row r="87" spans="1:102" ht="12.75" thickBot="1" x14ac:dyDescent="0.25">
      <c r="A87" s="1">
        <v>-9980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2">
        <v>0</v>
      </c>
      <c r="AD87" s="1">
        <v>0</v>
      </c>
      <c r="AE87" s="1">
        <v>0</v>
      </c>
      <c r="AF87" s="1">
        <v>0</v>
      </c>
      <c r="AG87" s="29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2">
        <v>0</v>
      </c>
      <c r="AP87" s="2">
        <v>0</v>
      </c>
      <c r="AQ87" s="22">
        <v>0</v>
      </c>
      <c r="AR87" s="22">
        <v>0</v>
      </c>
      <c r="AS87" s="1">
        <v>0</v>
      </c>
      <c r="AT87" s="2">
        <v>0</v>
      </c>
      <c r="AU87" s="22">
        <v>0</v>
      </c>
      <c r="AV87" s="22">
        <v>0</v>
      </c>
      <c r="AW87" s="2">
        <v>0</v>
      </c>
      <c r="AX87" s="3">
        <v>0</v>
      </c>
      <c r="AY87" s="4">
        <v>0</v>
      </c>
      <c r="AZ87" s="5">
        <v>0</v>
      </c>
      <c r="BA87" s="22">
        <v>0</v>
      </c>
      <c r="BB87" s="22">
        <v>0</v>
      </c>
      <c r="BC87" s="1">
        <v>0</v>
      </c>
      <c r="BD87" s="2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1">
        <v>0</v>
      </c>
      <c r="BO87" s="2">
        <v>0</v>
      </c>
      <c r="BP87" s="2">
        <v>0</v>
      </c>
      <c r="BQ87" s="2">
        <v>0</v>
      </c>
      <c r="BR87" s="2">
        <v>0</v>
      </c>
      <c r="BS87" s="2">
        <v>0</v>
      </c>
      <c r="BT87" s="2">
        <v>0</v>
      </c>
      <c r="BU87" s="2">
        <v>0</v>
      </c>
      <c r="BV87" s="2">
        <v>0</v>
      </c>
      <c r="BW87" s="2">
        <v>0</v>
      </c>
      <c r="BX87" s="2">
        <v>0</v>
      </c>
      <c r="BY87" s="2">
        <v>0</v>
      </c>
      <c r="BZ87" s="2">
        <v>0</v>
      </c>
      <c r="CA87" s="2">
        <v>0</v>
      </c>
      <c r="CB87" s="2">
        <v>0</v>
      </c>
      <c r="CC87" s="2">
        <v>0</v>
      </c>
      <c r="CD87" s="2">
        <v>0</v>
      </c>
      <c r="CE87" s="2">
        <v>0</v>
      </c>
      <c r="CF87" s="2">
        <v>0</v>
      </c>
      <c r="CG87" s="2">
        <v>0</v>
      </c>
      <c r="CH87" s="2">
        <v>0</v>
      </c>
      <c r="CI87" s="2">
        <v>0</v>
      </c>
      <c r="CJ87" s="1">
        <v>0</v>
      </c>
      <c r="CK87" s="1">
        <v>0</v>
      </c>
      <c r="CL87" s="1">
        <v>0</v>
      </c>
      <c r="CM87" s="1">
        <v>0</v>
      </c>
      <c r="CN87" s="1">
        <v>0</v>
      </c>
      <c r="CO87" s="1">
        <v>0</v>
      </c>
      <c r="CP87" s="1">
        <v>0</v>
      </c>
      <c r="CQ87" s="1">
        <v>0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  <c r="CX87" s="1">
        <v>0</v>
      </c>
    </row>
    <row r="88" spans="1:102" ht="12.75" thickBot="1" x14ac:dyDescent="0.25">
      <c r="A88" s="1">
        <v>-9980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2">
        <v>0</v>
      </c>
      <c r="AD88" s="1">
        <v>0</v>
      </c>
      <c r="AE88" s="1">
        <v>0</v>
      </c>
      <c r="AF88" s="1">
        <v>0</v>
      </c>
      <c r="AG88" s="29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2">
        <v>0</v>
      </c>
      <c r="AP88" s="2">
        <v>0</v>
      </c>
      <c r="AQ88" s="22">
        <v>0</v>
      </c>
      <c r="AR88" s="22">
        <v>0</v>
      </c>
      <c r="AS88" s="1">
        <v>0</v>
      </c>
      <c r="AT88" s="4">
        <v>0</v>
      </c>
      <c r="AU88" s="4">
        <v>0</v>
      </c>
      <c r="AV88" s="4">
        <v>0</v>
      </c>
      <c r="AW88" s="5">
        <v>0</v>
      </c>
      <c r="AX88" s="22">
        <v>0</v>
      </c>
      <c r="AY88" s="22">
        <v>0</v>
      </c>
      <c r="AZ88" s="22">
        <v>0</v>
      </c>
      <c r="BA88" s="22">
        <v>0</v>
      </c>
      <c r="BB88" s="22">
        <v>0</v>
      </c>
      <c r="BC88" s="1">
        <v>0</v>
      </c>
      <c r="BD88" s="2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0</v>
      </c>
      <c r="BK88" s="2">
        <v>0</v>
      </c>
      <c r="BL88" s="2">
        <v>0</v>
      </c>
      <c r="BM88" s="2">
        <v>0</v>
      </c>
      <c r="BN88" s="1">
        <v>0</v>
      </c>
      <c r="BO88" s="2">
        <v>0</v>
      </c>
      <c r="BP88" s="2">
        <v>0</v>
      </c>
      <c r="BQ88" s="2">
        <v>0</v>
      </c>
      <c r="BR88" s="2">
        <v>0</v>
      </c>
      <c r="BS88" s="2">
        <v>0</v>
      </c>
      <c r="BT88" s="2">
        <v>0</v>
      </c>
      <c r="BU88" s="2">
        <v>0</v>
      </c>
      <c r="BV88" s="2">
        <v>0</v>
      </c>
      <c r="BW88" s="2">
        <v>0</v>
      </c>
      <c r="BX88" s="2">
        <v>0</v>
      </c>
      <c r="BY88" s="2">
        <v>0</v>
      </c>
      <c r="BZ88" s="2">
        <v>0</v>
      </c>
      <c r="CA88" s="2">
        <v>0</v>
      </c>
      <c r="CB88" s="2">
        <v>0</v>
      </c>
      <c r="CC88" s="2">
        <v>0</v>
      </c>
      <c r="CD88" s="2">
        <v>0</v>
      </c>
      <c r="CE88" s="2">
        <v>0</v>
      </c>
      <c r="CF88" s="2">
        <v>0</v>
      </c>
      <c r="CG88" s="2">
        <v>0</v>
      </c>
      <c r="CH88" s="2">
        <v>0</v>
      </c>
      <c r="CI88" s="2">
        <v>0</v>
      </c>
      <c r="CJ88" s="1">
        <v>0</v>
      </c>
      <c r="CK88" s="1">
        <v>0</v>
      </c>
      <c r="CL88" s="1">
        <v>0</v>
      </c>
      <c r="CM88" s="1">
        <v>0</v>
      </c>
      <c r="CN88" s="1">
        <v>0</v>
      </c>
      <c r="CO88" s="1">
        <v>0</v>
      </c>
      <c r="CP88" s="1">
        <v>0</v>
      </c>
      <c r="CQ88" s="1">
        <v>0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  <c r="CX88" s="1">
        <v>0</v>
      </c>
    </row>
    <row r="89" spans="1:102" ht="12.75" thickBot="1" x14ac:dyDescent="0.25">
      <c r="A89" s="1">
        <v>-9980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2">
        <v>0</v>
      </c>
      <c r="AD89" s="1">
        <v>0</v>
      </c>
      <c r="AE89" s="1">
        <v>0</v>
      </c>
      <c r="AF89" s="1">
        <v>0</v>
      </c>
      <c r="AG89" s="29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4">
        <v>0</v>
      </c>
      <c r="AP89" s="4">
        <v>0</v>
      </c>
      <c r="AQ89" s="4">
        <v>0</v>
      </c>
      <c r="AR89" s="5">
        <v>0</v>
      </c>
      <c r="AS89" s="1">
        <v>0</v>
      </c>
      <c r="AT89" s="2">
        <v>0</v>
      </c>
      <c r="AU89" s="22">
        <v>0</v>
      </c>
      <c r="AV89" s="22">
        <v>0</v>
      </c>
      <c r="AW89" s="2">
        <v>0</v>
      </c>
      <c r="AX89" s="22">
        <v>0</v>
      </c>
      <c r="AY89" s="22">
        <v>0</v>
      </c>
      <c r="AZ89" s="22">
        <v>0</v>
      </c>
      <c r="BA89" s="22">
        <v>0</v>
      </c>
      <c r="BB89" s="22">
        <v>0</v>
      </c>
      <c r="BC89" s="1">
        <v>0</v>
      </c>
      <c r="BD89" s="2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  <c r="BM89" s="2">
        <v>0</v>
      </c>
      <c r="BN89" s="1">
        <v>0</v>
      </c>
      <c r="BO89" s="2">
        <v>0</v>
      </c>
      <c r="BP89" s="2">
        <v>0</v>
      </c>
      <c r="BQ89" s="2">
        <v>0</v>
      </c>
      <c r="BR89" s="2">
        <v>0</v>
      </c>
      <c r="BS89" s="2">
        <v>0</v>
      </c>
      <c r="BT89" s="2">
        <v>0</v>
      </c>
      <c r="BU89" s="2">
        <v>0</v>
      </c>
      <c r="BV89" s="2">
        <v>0</v>
      </c>
      <c r="BW89" s="2">
        <v>0</v>
      </c>
      <c r="BX89" s="2">
        <v>0</v>
      </c>
      <c r="BY89" s="2">
        <v>0</v>
      </c>
      <c r="BZ89" s="2">
        <v>0</v>
      </c>
      <c r="CA89" s="2">
        <v>0</v>
      </c>
      <c r="CB89" s="2">
        <v>0</v>
      </c>
      <c r="CC89" s="2">
        <v>0</v>
      </c>
      <c r="CD89" s="2">
        <v>0</v>
      </c>
      <c r="CE89" s="2">
        <v>0</v>
      </c>
      <c r="CF89" s="2">
        <v>0</v>
      </c>
      <c r="CG89" s="2">
        <v>0</v>
      </c>
      <c r="CH89" s="2">
        <v>0</v>
      </c>
      <c r="CI89" s="2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  <c r="CX89" s="1">
        <v>0</v>
      </c>
    </row>
    <row r="90" spans="1:102" x14ac:dyDescent="0.2">
      <c r="A90" s="1">
        <v>-9980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2">
        <v>0</v>
      </c>
      <c r="AD90" s="1">
        <v>0</v>
      </c>
      <c r="AE90" s="1">
        <v>0</v>
      </c>
      <c r="AF90" s="1">
        <v>0</v>
      </c>
      <c r="AG90" s="29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1">
        <v>0</v>
      </c>
      <c r="BP90" s="1">
        <v>0</v>
      </c>
      <c r="BQ90" s="1">
        <v>0</v>
      </c>
      <c r="BR90" s="1">
        <v>0</v>
      </c>
      <c r="BS90" s="1">
        <v>0</v>
      </c>
      <c r="BT90" s="1">
        <v>0</v>
      </c>
      <c r="BU90" s="1">
        <v>0</v>
      </c>
      <c r="BV90" s="1">
        <v>0</v>
      </c>
      <c r="BW90" s="1">
        <v>0</v>
      </c>
      <c r="BX90" s="1">
        <v>0</v>
      </c>
      <c r="BY90" s="1">
        <v>0</v>
      </c>
      <c r="BZ90" s="1">
        <v>0</v>
      </c>
      <c r="CA90" s="1">
        <v>0</v>
      </c>
      <c r="CB90" s="1">
        <v>0</v>
      </c>
      <c r="CC90" s="1">
        <v>0</v>
      </c>
      <c r="CD90" s="1">
        <v>0</v>
      </c>
      <c r="CE90" s="1">
        <v>0</v>
      </c>
      <c r="CF90" s="1">
        <v>0</v>
      </c>
      <c r="CG90" s="1">
        <v>0</v>
      </c>
      <c r="CH90" s="1">
        <v>0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  <c r="CX90" s="1">
        <v>0</v>
      </c>
    </row>
    <row r="91" spans="1:102" x14ac:dyDescent="0.2">
      <c r="A91" s="1">
        <v>-9980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2">
        <v>0</v>
      </c>
      <c r="AD91" s="1">
        <v>0</v>
      </c>
      <c r="AE91" s="1">
        <v>0</v>
      </c>
      <c r="AF91" s="1">
        <v>0</v>
      </c>
      <c r="AG91" s="29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  <c r="BL91" s="1">
        <v>0</v>
      </c>
      <c r="BM91" s="1">
        <v>0</v>
      </c>
      <c r="BN91" s="1">
        <v>0</v>
      </c>
      <c r="BO91" s="1">
        <v>0</v>
      </c>
      <c r="BP91" s="1">
        <v>0</v>
      </c>
      <c r="BQ91" s="1">
        <v>0</v>
      </c>
      <c r="BR91" s="1">
        <v>0</v>
      </c>
      <c r="BS91" s="1">
        <v>0</v>
      </c>
      <c r="BT91" s="1">
        <v>0</v>
      </c>
      <c r="BU91" s="1">
        <v>0</v>
      </c>
      <c r="BV91" s="1">
        <v>0</v>
      </c>
      <c r="BW91" s="1">
        <v>0</v>
      </c>
      <c r="BX91" s="1">
        <v>0</v>
      </c>
      <c r="BY91" s="1">
        <v>0</v>
      </c>
      <c r="BZ91" s="1">
        <v>0</v>
      </c>
      <c r="CA91" s="1">
        <v>0</v>
      </c>
      <c r="CB91" s="1">
        <v>0</v>
      </c>
      <c r="CC91" s="1">
        <v>0</v>
      </c>
      <c r="CD91" s="1">
        <v>0</v>
      </c>
      <c r="CE91" s="1">
        <v>0</v>
      </c>
      <c r="CF91" s="1">
        <v>0</v>
      </c>
      <c r="CG91" s="1">
        <v>0</v>
      </c>
      <c r="CH91" s="1">
        <v>0</v>
      </c>
      <c r="CI91" s="1">
        <v>0</v>
      </c>
      <c r="CJ91" s="1">
        <v>0</v>
      </c>
      <c r="CK91" s="1">
        <v>0</v>
      </c>
      <c r="CL91" s="1">
        <v>0</v>
      </c>
      <c r="CM91" s="1">
        <v>0</v>
      </c>
      <c r="CN91" s="1">
        <v>0</v>
      </c>
      <c r="CO91" s="1">
        <v>0</v>
      </c>
      <c r="CP91" s="1">
        <v>0</v>
      </c>
      <c r="CQ91" s="1">
        <v>0</v>
      </c>
      <c r="CR91" s="1">
        <v>0</v>
      </c>
      <c r="CS91" s="1">
        <v>0</v>
      </c>
      <c r="CT91" s="1">
        <v>0</v>
      </c>
      <c r="CU91" s="1">
        <v>0</v>
      </c>
      <c r="CV91" s="1">
        <v>0</v>
      </c>
      <c r="CW91" s="1">
        <v>0</v>
      </c>
      <c r="CX91" s="1">
        <v>0</v>
      </c>
    </row>
    <row r="92" spans="1:102" x14ac:dyDescent="0.2">
      <c r="A92" s="1">
        <v>-9980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2">
        <v>0</v>
      </c>
      <c r="AD92" s="1">
        <v>0</v>
      </c>
      <c r="AE92" s="1">
        <v>0</v>
      </c>
      <c r="AF92" s="1">
        <v>0</v>
      </c>
      <c r="AG92" s="29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0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1">
        <v>0</v>
      </c>
      <c r="BP92" s="1">
        <v>0</v>
      </c>
      <c r="BQ92" s="1">
        <v>0</v>
      </c>
      <c r="BR92" s="1">
        <v>0</v>
      </c>
      <c r="BS92" s="1">
        <v>0</v>
      </c>
      <c r="BT92" s="1">
        <v>0</v>
      </c>
      <c r="BU92" s="1">
        <v>0</v>
      </c>
      <c r="BV92" s="1">
        <v>0</v>
      </c>
      <c r="BW92" s="1">
        <v>0</v>
      </c>
      <c r="BX92" s="1">
        <v>0</v>
      </c>
      <c r="BY92" s="1">
        <v>0</v>
      </c>
      <c r="BZ92" s="1">
        <v>0</v>
      </c>
      <c r="CA92" s="1">
        <v>0</v>
      </c>
      <c r="CB92" s="1">
        <v>0</v>
      </c>
      <c r="CC92" s="1">
        <v>0</v>
      </c>
      <c r="CD92" s="1">
        <v>0</v>
      </c>
      <c r="CE92" s="1">
        <v>0</v>
      </c>
      <c r="CF92" s="1">
        <v>0</v>
      </c>
      <c r="CG92" s="1">
        <v>0</v>
      </c>
      <c r="CH92" s="1">
        <v>0</v>
      </c>
      <c r="CI92" s="1">
        <v>0</v>
      </c>
      <c r="CJ92" s="1">
        <v>0</v>
      </c>
      <c r="CK92" s="1">
        <v>0</v>
      </c>
      <c r="CL92" s="1">
        <v>0</v>
      </c>
      <c r="CM92" s="1">
        <v>0</v>
      </c>
      <c r="CN92" s="1">
        <v>0</v>
      </c>
      <c r="CO92" s="1">
        <v>0</v>
      </c>
      <c r="CP92" s="1">
        <v>0</v>
      </c>
      <c r="CQ92" s="1">
        <v>0</v>
      </c>
      <c r="CR92" s="1">
        <v>0</v>
      </c>
      <c r="CS92" s="1">
        <v>0</v>
      </c>
      <c r="CT92" s="1">
        <v>0</v>
      </c>
      <c r="CU92" s="1">
        <v>0</v>
      </c>
      <c r="CV92" s="1">
        <v>0</v>
      </c>
      <c r="CW92" s="1">
        <v>0</v>
      </c>
      <c r="CX92" s="1">
        <v>0</v>
      </c>
    </row>
    <row r="93" spans="1:102" x14ac:dyDescent="0.2">
      <c r="A93" s="1">
        <v>-9980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2">
        <v>0</v>
      </c>
      <c r="AD93" s="1">
        <v>0</v>
      </c>
      <c r="AE93" s="1">
        <v>0</v>
      </c>
      <c r="AF93" s="1">
        <v>0</v>
      </c>
      <c r="AG93" s="29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0</v>
      </c>
      <c r="BH93" s="1">
        <v>0</v>
      </c>
      <c r="BI93" s="1">
        <v>0</v>
      </c>
      <c r="BJ93" s="1">
        <v>0</v>
      </c>
      <c r="BK93" s="1">
        <v>0</v>
      </c>
      <c r="BL93" s="1">
        <v>0</v>
      </c>
      <c r="BM93" s="1">
        <v>0</v>
      </c>
      <c r="BN93" s="1">
        <v>0</v>
      </c>
      <c r="BO93" s="1">
        <v>0</v>
      </c>
      <c r="BP93" s="1">
        <v>0</v>
      </c>
      <c r="BQ93" s="1">
        <v>0</v>
      </c>
      <c r="BR93" s="1">
        <v>0</v>
      </c>
      <c r="BS93" s="1">
        <v>0</v>
      </c>
      <c r="BT93" s="1">
        <v>0</v>
      </c>
      <c r="BU93" s="1">
        <v>0</v>
      </c>
      <c r="BV93" s="1">
        <v>0</v>
      </c>
      <c r="BW93" s="1">
        <v>0</v>
      </c>
      <c r="BX93" s="1">
        <v>0</v>
      </c>
      <c r="BY93" s="1">
        <v>0</v>
      </c>
      <c r="BZ93" s="1">
        <v>0</v>
      </c>
      <c r="CA93" s="1">
        <v>0</v>
      </c>
      <c r="CB93" s="1">
        <v>0</v>
      </c>
      <c r="CC93" s="1">
        <v>0</v>
      </c>
      <c r="CD93" s="1">
        <v>0</v>
      </c>
      <c r="CE93" s="1">
        <v>0</v>
      </c>
      <c r="CF93" s="1">
        <v>0</v>
      </c>
      <c r="CG93" s="1">
        <v>0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0</v>
      </c>
      <c r="CP93" s="1">
        <v>0</v>
      </c>
      <c r="CQ93" s="1">
        <v>0</v>
      </c>
      <c r="CR93" s="1">
        <v>0</v>
      </c>
      <c r="CS93" s="1">
        <v>0</v>
      </c>
      <c r="CT93" s="1">
        <v>0</v>
      </c>
      <c r="CU93" s="1">
        <v>0</v>
      </c>
      <c r="CV93" s="1">
        <v>0</v>
      </c>
      <c r="CW93" s="1">
        <v>0</v>
      </c>
      <c r="CX93" s="1">
        <v>0</v>
      </c>
    </row>
    <row r="94" spans="1:102" x14ac:dyDescent="0.2">
      <c r="A94" s="1">
        <v>-9980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2">
        <v>0</v>
      </c>
      <c r="AD94" s="1">
        <v>0</v>
      </c>
      <c r="AE94" s="1">
        <v>0</v>
      </c>
      <c r="AF94" s="1">
        <v>0</v>
      </c>
      <c r="AG94" s="29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</v>
      </c>
      <c r="BT94" s="1">
        <v>0</v>
      </c>
      <c r="BU94" s="1">
        <v>0</v>
      </c>
      <c r="BV94" s="1">
        <v>0</v>
      </c>
      <c r="BW94" s="1">
        <v>0</v>
      </c>
      <c r="BX94" s="1">
        <v>0</v>
      </c>
      <c r="BY94" s="1">
        <v>0</v>
      </c>
      <c r="BZ94" s="1">
        <v>0</v>
      </c>
      <c r="CA94" s="1">
        <v>0</v>
      </c>
      <c r="CB94" s="1">
        <v>0</v>
      </c>
      <c r="CC94" s="1">
        <v>0</v>
      </c>
      <c r="CD94" s="1">
        <v>0</v>
      </c>
      <c r="CE94" s="1">
        <v>0</v>
      </c>
      <c r="CF94" s="1">
        <v>0</v>
      </c>
      <c r="CG94" s="1">
        <v>0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</v>
      </c>
      <c r="CP94" s="1">
        <v>0</v>
      </c>
      <c r="CQ94" s="1">
        <v>0</v>
      </c>
      <c r="CR94" s="1">
        <v>0</v>
      </c>
      <c r="CS94" s="1">
        <v>0</v>
      </c>
      <c r="CT94" s="1">
        <v>0</v>
      </c>
      <c r="CU94" s="1">
        <v>0</v>
      </c>
      <c r="CV94" s="1">
        <v>0</v>
      </c>
      <c r="CW94" s="1">
        <v>0</v>
      </c>
      <c r="CX94" s="1">
        <v>0</v>
      </c>
    </row>
    <row r="95" spans="1:102" x14ac:dyDescent="0.2">
      <c r="A95" s="1">
        <v>-9980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2">
        <v>0</v>
      </c>
      <c r="AD95" s="1">
        <v>0</v>
      </c>
      <c r="AE95" s="1">
        <v>0</v>
      </c>
      <c r="AF95" s="1">
        <v>0</v>
      </c>
      <c r="AG95" s="29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0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R95" s="1">
        <v>0</v>
      </c>
      <c r="BS95" s="1">
        <v>0</v>
      </c>
      <c r="BT95" s="1">
        <v>0</v>
      </c>
      <c r="BU95" s="1">
        <v>0</v>
      </c>
      <c r="BV95" s="1">
        <v>0</v>
      </c>
      <c r="BW95" s="1">
        <v>0</v>
      </c>
      <c r="BX95" s="1">
        <v>0</v>
      </c>
      <c r="BY95" s="1">
        <v>0</v>
      </c>
      <c r="BZ95" s="1">
        <v>0</v>
      </c>
      <c r="CA95" s="1">
        <v>0</v>
      </c>
      <c r="CB95" s="1">
        <v>0</v>
      </c>
      <c r="CC95" s="1">
        <v>0</v>
      </c>
      <c r="CD95" s="1">
        <v>0</v>
      </c>
      <c r="CE95" s="1">
        <v>0</v>
      </c>
      <c r="CF95" s="1">
        <v>0</v>
      </c>
      <c r="CG95" s="1">
        <v>0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M95" s="1">
        <v>0</v>
      </c>
      <c r="CN95" s="1">
        <v>0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T95" s="1">
        <v>0</v>
      </c>
      <c r="CU95" s="1">
        <v>0</v>
      </c>
      <c r="CV95" s="1">
        <v>0</v>
      </c>
      <c r="CW95" s="1">
        <v>0</v>
      </c>
      <c r="CX95" s="1">
        <v>0</v>
      </c>
    </row>
    <row r="96" spans="1:102" x14ac:dyDescent="0.2">
      <c r="A96" s="1">
        <v>-9980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2">
        <v>0</v>
      </c>
      <c r="AD96" s="1">
        <v>0</v>
      </c>
      <c r="AE96" s="1">
        <v>0</v>
      </c>
      <c r="AF96" s="1">
        <v>0</v>
      </c>
      <c r="AG96" s="29">
        <v>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>
        <v>0</v>
      </c>
      <c r="AN96" s="1">
        <v>0</v>
      </c>
      <c r="AO96" s="1">
        <v>0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>
        <v>0</v>
      </c>
      <c r="AX96" s="1">
        <v>0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D96" s="1">
        <v>0</v>
      </c>
      <c r="BE96" s="1">
        <v>0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R96" s="1">
        <v>0</v>
      </c>
      <c r="BS96" s="1">
        <v>0</v>
      </c>
      <c r="BT96" s="1">
        <v>0</v>
      </c>
      <c r="BU96" s="1">
        <v>0</v>
      </c>
      <c r="BV96" s="1">
        <v>0</v>
      </c>
      <c r="BW96" s="1">
        <v>0</v>
      </c>
      <c r="BX96" s="1">
        <v>0</v>
      </c>
      <c r="BY96" s="1">
        <v>0</v>
      </c>
      <c r="BZ96" s="1">
        <v>0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F96" s="1">
        <v>0</v>
      </c>
      <c r="CG96" s="1">
        <v>0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M96" s="1">
        <v>0</v>
      </c>
      <c r="CN96" s="1">
        <v>0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T96" s="1">
        <v>0</v>
      </c>
      <c r="CU96" s="1">
        <v>0</v>
      </c>
      <c r="CV96" s="1">
        <v>0</v>
      </c>
      <c r="CW96" s="1">
        <v>0</v>
      </c>
      <c r="CX96" s="1">
        <v>0</v>
      </c>
    </row>
    <row r="97" spans="1:102" x14ac:dyDescent="0.2">
      <c r="A97" s="1">
        <v>-9980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2">
        <v>0</v>
      </c>
      <c r="AD97" s="1">
        <v>0</v>
      </c>
      <c r="AE97" s="1">
        <v>0</v>
      </c>
      <c r="AF97" s="1">
        <v>0</v>
      </c>
      <c r="AG97" s="29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  <c r="BF97" s="1">
        <v>0</v>
      </c>
      <c r="BG97" s="1">
        <v>0</v>
      </c>
      <c r="BH97" s="1">
        <v>0</v>
      </c>
      <c r="BI97" s="1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1">
        <v>0</v>
      </c>
      <c r="BP97" s="1">
        <v>0</v>
      </c>
      <c r="BQ97" s="1">
        <v>0</v>
      </c>
      <c r="BR97" s="1">
        <v>0</v>
      </c>
      <c r="BS97" s="1">
        <v>0</v>
      </c>
      <c r="BT97" s="1">
        <v>0</v>
      </c>
      <c r="BU97" s="1">
        <v>0</v>
      </c>
      <c r="BV97" s="1">
        <v>0</v>
      </c>
      <c r="BW97" s="1">
        <v>0</v>
      </c>
      <c r="BX97" s="1">
        <v>0</v>
      </c>
      <c r="BY97" s="1">
        <v>0</v>
      </c>
      <c r="BZ97" s="1">
        <v>0</v>
      </c>
      <c r="CA97" s="1">
        <v>0</v>
      </c>
      <c r="CB97" s="1">
        <v>0</v>
      </c>
      <c r="CC97" s="1">
        <v>0</v>
      </c>
      <c r="CD97" s="1">
        <v>0</v>
      </c>
      <c r="CE97" s="1">
        <v>0</v>
      </c>
      <c r="CF97" s="1">
        <v>0</v>
      </c>
      <c r="CG97" s="1">
        <v>0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M97" s="1">
        <v>0</v>
      </c>
      <c r="CN97" s="1">
        <v>0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  <c r="CX97" s="1">
        <v>0</v>
      </c>
    </row>
    <row r="98" spans="1:102" x14ac:dyDescent="0.2">
      <c r="A98" s="1">
        <v>-9980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2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1">
        <v>0</v>
      </c>
      <c r="BM98" s="1">
        <v>0</v>
      </c>
      <c r="BN98" s="1">
        <v>0</v>
      </c>
      <c r="BO98" s="1">
        <v>0</v>
      </c>
      <c r="BP98" s="1">
        <v>0</v>
      </c>
      <c r="BQ98" s="1">
        <v>0</v>
      </c>
      <c r="BR98" s="1">
        <v>0</v>
      </c>
      <c r="BS98" s="1">
        <v>0</v>
      </c>
      <c r="BT98" s="1">
        <v>0</v>
      </c>
      <c r="BU98" s="1">
        <v>0</v>
      </c>
      <c r="BV98" s="1">
        <v>0</v>
      </c>
      <c r="BW98" s="1">
        <v>0</v>
      </c>
      <c r="BX98" s="1">
        <v>0</v>
      </c>
      <c r="BY98" s="1">
        <v>0</v>
      </c>
      <c r="BZ98" s="1">
        <v>0</v>
      </c>
      <c r="CA98" s="1">
        <v>0</v>
      </c>
      <c r="CB98" s="1">
        <v>0</v>
      </c>
      <c r="CC98" s="1">
        <v>0</v>
      </c>
      <c r="CD98" s="1">
        <v>0</v>
      </c>
      <c r="CE98" s="1">
        <v>0</v>
      </c>
      <c r="CF98" s="1">
        <v>0</v>
      </c>
      <c r="CG98" s="1">
        <v>0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M98" s="1">
        <v>0</v>
      </c>
      <c r="CN98" s="1">
        <v>0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T98" s="1">
        <v>0</v>
      </c>
      <c r="CU98" s="1">
        <v>0</v>
      </c>
      <c r="CV98" s="1">
        <v>0</v>
      </c>
      <c r="CW98" s="1">
        <v>0</v>
      </c>
      <c r="CX98" s="1">
        <v>0</v>
      </c>
    </row>
    <row r="99" spans="1:102" x14ac:dyDescent="0.2">
      <c r="A99" s="1">
        <v>-9980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2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1">
        <v>0</v>
      </c>
      <c r="BP99" s="1">
        <v>0</v>
      </c>
      <c r="BQ99" s="1">
        <v>0</v>
      </c>
      <c r="BR99" s="1">
        <v>0</v>
      </c>
      <c r="BS99" s="1">
        <v>0</v>
      </c>
      <c r="BT99" s="1">
        <v>0</v>
      </c>
      <c r="BU99" s="1">
        <v>0</v>
      </c>
      <c r="BV99" s="1">
        <v>0</v>
      </c>
      <c r="BW99" s="1">
        <v>0</v>
      </c>
      <c r="BX99" s="1">
        <v>0</v>
      </c>
      <c r="BY99" s="1">
        <v>0</v>
      </c>
      <c r="BZ99" s="1">
        <v>0</v>
      </c>
      <c r="CA99" s="1">
        <v>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1">
        <v>0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  <c r="CX99" s="1">
        <v>0</v>
      </c>
    </row>
    <row r="100" spans="1:102" x14ac:dyDescent="0.2">
      <c r="A100" s="1">
        <v>-9980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2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0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1">
        <v>0</v>
      </c>
      <c r="BM100" s="1">
        <v>0</v>
      </c>
      <c r="BN100" s="1">
        <v>0</v>
      </c>
      <c r="BO100" s="1">
        <v>0</v>
      </c>
      <c r="BP100" s="1">
        <v>0</v>
      </c>
      <c r="BQ100" s="1">
        <v>0</v>
      </c>
      <c r="BR100" s="1">
        <v>0</v>
      </c>
      <c r="BS100" s="1">
        <v>0</v>
      </c>
      <c r="BT100" s="1">
        <v>0</v>
      </c>
      <c r="BU100" s="1">
        <v>0</v>
      </c>
      <c r="BV100" s="1">
        <v>0</v>
      </c>
      <c r="BW100" s="1">
        <v>0</v>
      </c>
      <c r="BX100" s="1">
        <v>0</v>
      </c>
      <c r="BY100" s="1">
        <v>0</v>
      </c>
      <c r="BZ100" s="1">
        <v>0</v>
      </c>
      <c r="CA100" s="1">
        <v>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1">
        <v>0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T100" s="1">
        <v>0</v>
      </c>
      <c r="CU100" s="1">
        <v>0</v>
      </c>
      <c r="CV100" s="1">
        <v>0</v>
      </c>
      <c r="CW100" s="1">
        <v>0</v>
      </c>
      <c r="CX100" s="1">
        <v>0</v>
      </c>
    </row>
    <row r="101" spans="1:102" x14ac:dyDescent="0.2">
      <c r="A101" s="1">
        <v>-9980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2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0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0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0</v>
      </c>
      <c r="BF101" s="1">
        <v>0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1">
        <v>0</v>
      </c>
      <c r="BP101" s="1">
        <v>0</v>
      </c>
      <c r="BQ101" s="1">
        <v>0</v>
      </c>
      <c r="BR101" s="1">
        <v>0</v>
      </c>
      <c r="BS101" s="1">
        <v>0</v>
      </c>
      <c r="BT101" s="1">
        <v>0</v>
      </c>
      <c r="BU101" s="1">
        <v>0</v>
      </c>
      <c r="BV101" s="1">
        <v>0</v>
      </c>
      <c r="BW101" s="1">
        <v>0</v>
      </c>
      <c r="BX101" s="1">
        <v>0</v>
      </c>
      <c r="BY101" s="1">
        <v>0</v>
      </c>
      <c r="BZ101" s="1">
        <v>0</v>
      </c>
      <c r="CA101" s="1">
        <v>0</v>
      </c>
      <c r="CB101" s="1">
        <v>0</v>
      </c>
      <c r="CC101" s="1">
        <v>0</v>
      </c>
      <c r="CD101" s="1">
        <v>0</v>
      </c>
      <c r="CE101" s="1">
        <v>0</v>
      </c>
      <c r="CF101" s="1">
        <v>0</v>
      </c>
      <c r="CG101" s="1">
        <v>0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M101" s="1">
        <v>0</v>
      </c>
      <c r="CN101" s="1">
        <v>0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T101" s="1">
        <v>0</v>
      </c>
      <c r="CU101" s="1">
        <v>0</v>
      </c>
      <c r="CV101" s="1">
        <v>0</v>
      </c>
      <c r="CW101" s="1">
        <v>0</v>
      </c>
      <c r="CX101" s="1">
        <v>0</v>
      </c>
    </row>
    <row r="102" spans="1:102" x14ac:dyDescent="0.2"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2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R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Y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F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M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T102" s="1">
        <v>0</v>
      </c>
      <c r="CU102" s="1">
        <v>0</v>
      </c>
      <c r="CV102" s="1">
        <v>0</v>
      </c>
      <c r="CW102" s="1">
        <v>0</v>
      </c>
      <c r="CX102" s="1">
        <v>0</v>
      </c>
    </row>
    <row r="115" spans="29:38" x14ac:dyDescent="0.2">
      <c r="AC115" s="1"/>
    </row>
    <row r="116" spans="29:38" x14ac:dyDescent="0.2">
      <c r="AC116" s="1"/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ht="12.75" thickBot="1" x14ac:dyDescent="0.25">
      <c r="AC124" s="1"/>
      <c r="AH124" s="1" t="s">
        <v>1</v>
      </c>
    </row>
    <row r="125" spans="29:38" x14ac:dyDescent="0.2">
      <c r="AC125" s="1"/>
      <c r="AH125" s="30">
        <v>3.4000000000000004</v>
      </c>
      <c r="AI125" s="31">
        <v>9.608326112068541</v>
      </c>
      <c r="AJ125" s="32">
        <v>13.588225099390881</v>
      </c>
      <c r="AK125" s="31">
        <v>9.6083261120685393</v>
      </c>
      <c r="AL125" s="33">
        <v>3.4000000000000004</v>
      </c>
    </row>
    <row r="126" spans="29:38" ht="12.75" thickBot="1" x14ac:dyDescent="0.25">
      <c r="AC126" s="1"/>
      <c r="AH126" s="34">
        <v>9.608326112068541</v>
      </c>
      <c r="AI126" s="29">
        <v>43.576450198781764</v>
      </c>
      <c r="AJ126" s="27">
        <v>61.643059095330081</v>
      </c>
      <c r="AK126" s="29">
        <v>43.576450198781764</v>
      </c>
      <c r="AL126" s="35">
        <v>9.608326112068541</v>
      </c>
    </row>
    <row r="127" spans="29:38" ht="12.75" thickBot="1" x14ac:dyDescent="0.25">
      <c r="AC127" s="1"/>
      <c r="AH127" s="36">
        <v>13.588225099390881</v>
      </c>
      <c r="AI127" s="20">
        <v>61.643059095330081</v>
      </c>
      <c r="AJ127" s="18">
        <v>100</v>
      </c>
      <c r="AK127" s="15">
        <v>61.643059095330081</v>
      </c>
      <c r="AL127" s="37">
        <v>13.588225099390881</v>
      </c>
    </row>
    <row r="128" spans="29:38" x14ac:dyDescent="0.2">
      <c r="AC128" s="1"/>
      <c r="AH128" s="36">
        <v>9.6083261120685393</v>
      </c>
      <c r="AI128" s="20">
        <v>43.576450198781764</v>
      </c>
      <c r="AJ128" s="15">
        <v>61.643059095330088</v>
      </c>
      <c r="AK128" s="15">
        <v>43.576450198781764</v>
      </c>
      <c r="AL128" s="37">
        <v>9.6083261120685393</v>
      </c>
    </row>
    <row r="129" spans="29:62" ht="12.75" thickBot="1" x14ac:dyDescent="0.25">
      <c r="AC129" s="1"/>
      <c r="AH129" s="38">
        <v>3.4000000000000004</v>
      </c>
      <c r="AI129" s="39">
        <v>9.608326112068541</v>
      </c>
      <c r="AJ129" s="40">
        <v>13.588225099390881</v>
      </c>
      <c r="AK129" s="40">
        <v>9.6083261120685393</v>
      </c>
      <c r="AL129" s="41">
        <v>3.4000000000000004</v>
      </c>
      <c r="BB129" s="29">
        <v>-10000</v>
      </c>
      <c r="BC129" s="29">
        <v>-10000</v>
      </c>
      <c r="BD129" s="29">
        <v>-10000</v>
      </c>
      <c r="BE129" s="29">
        <v>-10000</v>
      </c>
      <c r="BF129" s="29">
        <v>-10000</v>
      </c>
      <c r="BG129" s="29">
        <v>-10000</v>
      </c>
      <c r="BH129" s="29">
        <v>-10000</v>
      </c>
      <c r="BI129" s="29">
        <v>-10000</v>
      </c>
      <c r="BJ129" s="29">
        <v>-10000</v>
      </c>
    </row>
    <row r="130" spans="29:62" ht="12.75" thickBot="1" x14ac:dyDescent="0.25">
      <c r="AC130" s="1"/>
      <c r="BB130" s="29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x14ac:dyDescent="0.2">
      <c r="AC131" s="1"/>
      <c r="BB131" s="29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9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9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9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9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9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9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9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9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9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9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9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9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9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9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9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9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9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9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9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9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9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9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9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9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BB156" s="29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BB157" s="29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9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9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9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9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9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9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9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9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9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9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9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9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9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9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9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9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9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9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9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9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9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9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9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9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9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9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9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9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9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9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9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conditionalFormatting sqref="A1:XFD1048576">
    <cfRule type="cellIs" dxfId="2" priority="1" operator="equal">
      <formula>100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105</xdr:col>
                    <xdr:colOff>295275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107</xdr:col>
                    <xdr:colOff>114300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107</xdr:col>
                    <xdr:colOff>85725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Z52"/>
  <sheetViews>
    <sheetView topLeftCell="A22" workbookViewId="0">
      <selection activeCell="H51" sqref="F51:H51"/>
    </sheetView>
  </sheetViews>
  <sheetFormatPr defaultColWidth="3" defaultRowHeight="15" x14ac:dyDescent="0.25"/>
  <cols>
    <col min="6" max="8" width="6.5703125" bestFit="1" customWidth="1"/>
    <col min="9" max="9" width="7.28515625" customWidth="1"/>
    <col min="14" max="14" width="5.7109375" bestFit="1" customWidth="1"/>
    <col min="41" max="41" width="3.28515625" customWidth="1"/>
  </cols>
  <sheetData>
    <row r="1" spans="1:52" x14ac:dyDescent="0.25">
      <c r="A1" s="1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15">
        <v>10</v>
      </c>
      <c r="L1" s="15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9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9">
        <v>50</v>
      </c>
      <c r="AZ1" s="22"/>
    </row>
    <row r="2" spans="1:52" x14ac:dyDescent="0.25">
      <c r="A2" s="2">
        <v>1</v>
      </c>
      <c r="B2" s="2">
        <f t="shared" ref="B2:K11" si="0">SQRT($A2^2+B$1^2)</f>
        <v>1.4142135623730951</v>
      </c>
      <c r="C2" s="2">
        <f t="shared" si="0"/>
        <v>2.2360679774997898</v>
      </c>
      <c r="D2" s="2">
        <f t="shared" si="0"/>
        <v>3.1622776601683795</v>
      </c>
      <c r="E2" s="2">
        <f t="shared" si="0"/>
        <v>4.1231056256176606</v>
      </c>
      <c r="F2" s="2">
        <f t="shared" si="0"/>
        <v>5.0990195135927845</v>
      </c>
      <c r="G2" s="2">
        <f t="shared" si="0"/>
        <v>6.0827625302982193</v>
      </c>
      <c r="H2" s="2">
        <f t="shared" si="0"/>
        <v>7.0710678118654755</v>
      </c>
      <c r="I2" s="2">
        <f t="shared" si="0"/>
        <v>8.0622577482985491</v>
      </c>
      <c r="J2" s="2">
        <f t="shared" si="0"/>
        <v>9.0553851381374173</v>
      </c>
      <c r="K2" s="15">
        <f t="shared" si="0"/>
        <v>10.04987562112089</v>
      </c>
      <c r="L2" s="15">
        <f t="shared" ref="L2:U11" si="1">SQRT($A2^2+L$1^2)</f>
        <v>11.045361017187261</v>
      </c>
      <c r="M2" s="2">
        <f t="shared" si="1"/>
        <v>12.041594578792296</v>
      </c>
      <c r="N2" s="2">
        <f t="shared" si="1"/>
        <v>13.038404810405298</v>
      </c>
      <c r="O2" s="2">
        <f t="shared" si="1"/>
        <v>14.035668847618199</v>
      </c>
      <c r="P2" s="2">
        <f t="shared" si="1"/>
        <v>15.033296378372908</v>
      </c>
      <c r="Q2" s="2">
        <f t="shared" si="1"/>
        <v>16.031219541881399</v>
      </c>
      <c r="R2" s="2">
        <f t="shared" si="1"/>
        <v>17.029386365926403</v>
      </c>
      <c r="S2" s="2">
        <f t="shared" si="1"/>
        <v>18.027756377319946</v>
      </c>
      <c r="T2" s="2">
        <f t="shared" si="1"/>
        <v>19.026297590440446</v>
      </c>
      <c r="U2" s="2">
        <f t="shared" si="1"/>
        <v>20.024984394500787</v>
      </c>
      <c r="V2" s="2">
        <f t="shared" ref="V2:AE11" si="2">SQRT($A2^2+V$1^2)</f>
        <v>21.023796041628639</v>
      </c>
      <c r="W2" s="2">
        <f t="shared" si="2"/>
        <v>22.022715545545239</v>
      </c>
      <c r="X2" s="2">
        <f t="shared" si="2"/>
        <v>23.021728866442675</v>
      </c>
      <c r="Y2" s="2">
        <f t="shared" si="2"/>
        <v>24.020824298928627</v>
      </c>
      <c r="Z2" s="2">
        <f t="shared" si="2"/>
        <v>25.019992006393608</v>
      </c>
      <c r="AA2" s="2">
        <f t="shared" si="2"/>
        <v>26.019223662515376</v>
      </c>
      <c r="AB2" s="2">
        <f t="shared" si="2"/>
        <v>27.018512172212592</v>
      </c>
      <c r="AC2" s="2">
        <f t="shared" si="2"/>
        <v>28.0178514522438</v>
      </c>
      <c r="AD2" s="2">
        <f t="shared" si="2"/>
        <v>29.017236257093817</v>
      </c>
      <c r="AE2" s="2">
        <f t="shared" si="2"/>
        <v>30.016662039607269</v>
      </c>
      <c r="AF2" s="2">
        <f t="shared" ref="AF2:AU11" si="3">SQRT($A2^2+AF$1^2)</f>
        <v>31.016124838541646</v>
      </c>
      <c r="AG2" s="2">
        <f t="shared" si="3"/>
        <v>32.015621187164243</v>
      </c>
      <c r="AH2" s="2">
        <f t="shared" si="3"/>
        <v>33.015148038438355</v>
      </c>
      <c r="AI2" s="2">
        <f t="shared" si="3"/>
        <v>34.014702703389901</v>
      </c>
      <c r="AJ2" s="2">
        <f t="shared" si="3"/>
        <v>35.014282800023196</v>
      </c>
      <c r="AK2" s="2">
        <f t="shared" si="3"/>
        <v>36.013886210738214</v>
      </c>
      <c r="AL2" s="2">
        <f t="shared" si="3"/>
        <v>37.013511046643494</v>
      </c>
      <c r="AM2" s="2">
        <f t="shared" si="3"/>
        <v>38.013155617496423</v>
      </c>
      <c r="AN2" s="2">
        <f t="shared" si="3"/>
        <v>39.012818406262319</v>
      </c>
      <c r="AO2" s="11">
        <f t="shared" si="3"/>
        <v>40.01249804748511</v>
      </c>
      <c r="AP2" s="2">
        <f t="shared" si="3"/>
        <v>41.012193308819754</v>
      </c>
      <c r="AQ2" s="2">
        <f t="shared" si="3"/>
        <v>42.01190307520001</v>
      </c>
      <c r="AR2" s="2">
        <f t="shared" si="3"/>
        <v>43.011626335213137</v>
      </c>
      <c r="AS2" s="2">
        <f t="shared" si="3"/>
        <v>44.011362169330773</v>
      </c>
      <c r="AT2" s="2">
        <f t="shared" si="3"/>
        <v>45.011109739707599</v>
      </c>
      <c r="AU2" s="2">
        <f t="shared" si="3"/>
        <v>46.010868281309364</v>
      </c>
      <c r="AV2" s="2">
        <f t="shared" ref="AP2:AY28" si="4">SQRT($A2^2+AV$1^2)</f>
        <v>47.010637094172637</v>
      </c>
      <c r="AW2" s="2">
        <f t="shared" si="4"/>
        <v>48.010415536631214</v>
      </c>
      <c r="AX2" s="2">
        <f t="shared" si="4"/>
        <v>49.010203019371382</v>
      </c>
      <c r="AY2" s="11">
        <f t="shared" si="4"/>
        <v>50.009999000199947</v>
      </c>
    </row>
    <row r="3" spans="1:52" x14ac:dyDescent="0.25">
      <c r="A3" s="2">
        <v>2</v>
      </c>
      <c r="B3" s="2">
        <f t="shared" si="0"/>
        <v>2.2360679774997898</v>
      </c>
      <c r="C3" s="2">
        <f t="shared" si="0"/>
        <v>2.8284271247461903</v>
      </c>
      <c r="D3" s="2">
        <f t="shared" si="0"/>
        <v>3.6055512754639891</v>
      </c>
      <c r="E3" s="2">
        <f t="shared" si="0"/>
        <v>4.4721359549995796</v>
      </c>
      <c r="F3" s="2">
        <f t="shared" si="0"/>
        <v>5.3851648071345037</v>
      </c>
      <c r="G3" s="2">
        <f t="shared" si="0"/>
        <v>6.324555320336759</v>
      </c>
      <c r="H3" s="2">
        <f t="shared" si="0"/>
        <v>7.2801098892805181</v>
      </c>
      <c r="I3" s="2">
        <f t="shared" si="0"/>
        <v>8.2462112512353212</v>
      </c>
      <c r="J3" s="2">
        <f t="shared" si="0"/>
        <v>9.2195444572928871</v>
      </c>
      <c r="K3" s="15">
        <f t="shared" si="0"/>
        <v>10.198039027185569</v>
      </c>
      <c r="L3" s="15">
        <f t="shared" si="1"/>
        <v>11.180339887498949</v>
      </c>
      <c r="M3" s="2">
        <f t="shared" si="1"/>
        <v>12.165525060596439</v>
      </c>
      <c r="N3" s="2">
        <f t="shared" si="1"/>
        <v>13.152946437965905</v>
      </c>
      <c r="O3" s="2">
        <f t="shared" si="1"/>
        <v>14.142135623730951</v>
      </c>
      <c r="P3" s="2">
        <f t="shared" si="1"/>
        <v>15.132745950421556</v>
      </c>
      <c r="Q3" s="2">
        <f t="shared" si="1"/>
        <v>16.124515496597098</v>
      </c>
      <c r="R3" s="2">
        <f t="shared" si="1"/>
        <v>17.11724276862369</v>
      </c>
      <c r="S3" s="2">
        <f t="shared" si="1"/>
        <v>18.110770276274835</v>
      </c>
      <c r="T3" s="2">
        <f t="shared" si="1"/>
        <v>19.104973174542799</v>
      </c>
      <c r="U3" s="2">
        <f t="shared" si="1"/>
        <v>20.09975124224178</v>
      </c>
      <c r="V3" s="2">
        <f t="shared" si="2"/>
        <v>21.095023109728988</v>
      </c>
      <c r="W3" s="2">
        <f t="shared" si="2"/>
        <v>22.090722034374522</v>
      </c>
      <c r="X3" s="2">
        <f t="shared" si="2"/>
        <v>23.086792761230392</v>
      </c>
      <c r="Y3" s="2">
        <f t="shared" si="2"/>
        <v>24.083189157584592</v>
      </c>
      <c r="Z3" s="2">
        <f t="shared" si="2"/>
        <v>25.079872407968907</v>
      </c>
      <c r="AA3" s="2">
        <f t="shared" si="2"/>
        <v>26.076809620810597</v>
      </c>
      <c r="AB3" s="2">
        <f t="shared" si="2"/>
        <v>27.073972741361768</v>
      </c>
      <c r="AC3" s="2">
        <f t="shared" si="2"/>
        <v>28.071337695236398</v>
      </c>
      <c r="AD3" s="2">
        <f t="shared" si="2"/>
        <v>29.068883707497267</v>
      </c>
      <c r="AE3" s="2">
        <f t="shared" si="2"/>
        <v>30.066592756745816</v>
      </c>
      <c r="AF3" s="2">
        <f t="shared" si="3"/>
        <v>31.064449134018133</v>
      </c>
      <c r="AG3" s="2">
        <f t="shared" si="3"/>
        <v>32.062439083762797</v>
      </c>
      <c r="AH3" s="2">
        <f t="shared" si="3"/>
        <v>33.060550509633082</v>
      </c>
      <c r="AI3" s="2">
        <f t="shared" si="3"/>
        <v>34.058772731852805</v>
      </c>
      <c r="AJ3" s="2">
        <f t="shared" si="3"/>
        <v>35.057096285916209</v>
      </c>
      <c r="AK3" s="2">
        <f t="shared" si="3"/>
        <v>36.055512754639892</v>
      </c>
      <c r="AL3" s="2">
        <f t="shared" si="3"/>
        <v>37.054014627297811</v>
      </c>
      <c r="AM3" s="2">
        <f t="shared" si="3"/>
        <v>38.052595180880893</v>
      </c>
      <c r="AN3" s="2">
        <f t="shared" si="3"/>
        <v>39.05124837953327</v>
      </c>
      <c r="AO3" s="11">
        <f t="shared" si="3"/>
        <v>40.049968789001575</v>
      </c>
      <c r="AP3" s="2">
        <f t="shared" si="4"/>
        <v>41.048751503547585</v>
      </c>
      <c r="AQ3" s="2">
        <f t="shared" si="4"/>
        <v>42.047592083257278</v>
      </c>
      <c r="AR3" s="2">
        <f t="shared" si="4"/>
        <v>43.046486500061768</v>
      </c>
      <c r="AS3" s="2">
        <f t="shared" si="4"/>
        <v>44.045431091090478</v>
      </c>
      <c r="AT3" s="2">
        <f t="shared" si="4"/>
        <v>45.044422518220834</v>
      </c>
      <c r="AU3" s="2">
        <f t="shared" si="4"/>
        <v>46.043457732885351</v>
      </c>
      <c r="AV3" s="2">
        <f t="shared" si="4"/>
        <v>47.042533945356304</v>
      </c>
      <c r="AW3" s="2">
        <f t="shared" si="4"/>
        <v>48.041648597857254</v>
      </c>
      <c r="AX3" s="2">
        <f t="shared" si="4"/>
        <v>49.040799340956916</v>
      </c>
      <c r="AY3" s="11">
        <f t="shared" si="4"/>
        <v>50.039984012787215</v>
      </c>
    </row>
    <row r="4" spans="1:52" x14ac:dyDescent="0.25">
      <c r="A4" s="2">
        <v>3</v>
      </c>
      <c r="B4" s="2">
        <f t="shared" si="0"/>
        <v>3.1622776601683795</v>
      </c>
      <c r="C4" s="2">
        <f t="shared" si="0"/>
        <v>3.6055512754639891</v>
      </c>
      <c r="D4" s="2">
        <f t="shared" si="0"/>
        <v>4.2426406871192848</v>
      </c>
      <c r="E4" s="2">
        <f t="shared" si="0"/>
        <v>5</v>
      </c>
      <c r="F4" s="2">
        <f t="shared" si="0"/>
        <v>5.8309518948453007</v>
      </c>
      <c r="G4" s="2">
        <f t="shared" si="0"/>
        <v>6.7082039324993694</v>
      </c>
      <c r="H4" s="2">
        <f t="shared" si="0"/>
        <v>7.6157731058639087</v>
      </c>
      <c r="I4" s="2">
        <f t="shared" si="0"/>
        <v>8.5440037453175304</v>
      </c>
      <c r="J4" s="2">
        <f t="shared" si="0"/>
        <v>9.4868329805051381</v>
      </c>
      <c r="K4" s="15">
        <f t="shared" si="0"/>
        <v>10.440306508910551</v>
      </c>
      <c r="L4" s="15">
        <f t="shared" si="1"/>
        <v>11.401754250991379</v>
      </c>
      <c r="M4" s="2">
        <f t="shared" si="1"/>
        <v>12.369316876852981</v>
      </c>
      <c r="N4" s="2">
        <f t="shared" si="1"/>
        <v>13.341664064126334</v>
      </c>
      <c r="O4" s="2">
        <f t="shared" si="1"/>
        <v>14.317821063276353</v>
      </c>
      <c r="P4" s="2">
        <f t="shared" si="1"/>
        <v>15.297058540778355</v>
      </c>
      <c r="Q4" s="2">
        <f t="shared" si="1"/>
        <v>16.278820596099706</v>
      </c>
      <c r="R4" s="2">
        <f t="shared" si="1"/>
        <v>17.262676501632068</v>
      </c>
      <c r="S4" s="2">
        <f t="shared" si="1"/>
        <v>18.248287590894659</v>
      </c>
      <c r="T4" s="2">
        <f t="shared" si="1"/>
        <v>19.235384061671343</v>
      </c>
      <c r="U4" s="2">
        <f t="shared" si="1"/>
        <v>20.223748416156685</v>
      </c>
      <c r="V4" s="2">
        <f t="shared" si="2"/>
        <v>21.213203435596427</v>
      </c>
      <c r="W4" s="2">
        <f t="shared" si="2"/>
        <v>22.203603311174518</v>
      </c>
      <c r="X4" s="2">
        <f t="shared" si="2"/>
        <v>23.194827009486403</v>
      </c>
      <c r="Y4" s="2">
        <f t="shared" si="2"/>
        <v>24.186773244895647</v>
      </c>
      <c r="Z4" s="2">
        <f t="shared" si="2"/>
        <v>25.179356624028344</v>
      </c>
      <c r="AA4" s="2">
        <f t="shared" si="2"/>
        <v>26.172504656604801</v>
      </c>
      <c r="AB4" s="2">
        <f t="shared" si="2"/>
        <v>27.166155414412248</v>
      </c>
      <c r="AC4" s="2">
        <f t="shared" si="2"/>
        <v>28.160255680657446</v>
      </c>
      <c r="AD4" s="2">
        <f t="shared" si="2"/>
        <v>29.154759474226502</v>
      </c>
      <c r="AE4" s="2">
        <f t="shared" si="2"/>
        <v>30.14962686336267</v>
      </c>
      <c r="AF4" s="2">
        <f t="shared" si="3"/>
        <v>31.144823004794873</v>
      </c>
      <c r="AG4" s="2">
        <f t="shared" si="3"/>
        <v>32.140317359976393</v>
      </c>
      <c r="AH4" s="2">
        <f t="shared" si="3"/>
        <v>33.136083051561783</v>
      </c>
      <c r="AI4" s="2">
        <f t="shared" si="3"/>
        <v>34.132096331752024</v>
      </c>
      <c r="AJ4" s="2">
        <f t="shared" si="3"/>
        <v>35.128336140500593</v>
      </c>
      <c r="AK4" s="2">
        <f t="shared" si="3"/>
        <v>36.124783736376884</v>
      </c>
      <c r="AL4" s="2">
        <f t="shared" si="3"/>
        <v>37.12142238654117</v>
      </c>
      <c r="AM4" s="2">
        <f t="shared" si="3"/>
        <v>38.118237105091836</v>
      </c>
      <c r="AN4" s="2">
        <f t="shared" si="3"/>
        <v>39.11521443121589</v>
      </c>
      <c r="AO4" s="11">
        <f t="shared" si="3"/>
        <v>40.11234224026316</v>
      </c>
      <c r="AP4" s="2">
        <f t="shared" si="4"/>
        <v>41.109609582188931</v>
      </c>
      <c r="AQ4" s="2">
        <f t="shared" si="4"/>
        <v>42.107006542854599</v>
      </c>
      <c r="AR4" s="2">
        <f t="shared" si="4"/>
        <v>43.104524124504614</v>
      </c>
      <c r="AS4" s="2">
        <f t="shared" si="4"/>
        <v>44.10215414239989</v>
      </c>
      <c r="AT4" s="2">
        <f t="shared" si="4"/>
        <v>45.099889135118723</v>
      </c>
      <c r="AU4" s="2">
        <f t="shared" si="4"/>
        <v>46.097722286464439</v>
      </c>
      <c r="AV4" s="2">
        <f t="shared" si="4"/>
        <v>47.095647357266465</v>
      </c>
      <c r="AW4" s="2">
        <f t="shared" si="4"/>
        <v>48.093658625644196</v>
      </c>
      <c r="AX4" s="2">
        <f t="shared" si="4"/>
        <v>49.091750834534309</v>
      </c>
      <c r="AY4" s="11">
        <f t="shared" si="4"/>
        <v>50.089919145472777</v>
      </c>
    </row>
    <row r="5" spans="1:52" x14ac:dyDescent="0.25">
      <c r="A5" s="2">
        <v>4</v>
      </c>
      <c r="B5" s="2">
        <f t="shared" si="0"/>
        <v>4.1231056256176606</v>
      </c>
      <c r="C5" s="2">
        <f t="shared" si="0"/>
        <v>4.4721359549995796</v>
      </c>
      <c r="D5" s="2">
        <f t="shared" si="0"/>
        <v>5</v>
      </c>
      <c r="E5" s="2">
        <f t="shared" si="0"/>
        <v>5.6568542494923806</v>
      </c>
      <c r="F5" s="2">
        <f t="shared" si="0"/>
        <v>6.4031242374328485</v>
      </c>
      <c r="G5" s="2">
        <f t="shared" si="0"/>
        <v>7.2111025509279782</v>
      </c>
      <c r="H5" s="2">
        <f t="shared" si="0"/>
        <v>8.0622577482985491</v>
      </c>
      <c r="I5" s="2">
        <f t="shared" si="0"/>
        <v>8.9442719099991592</v>
      </c>
      <c r="J5" s="2">
        <f t="shared" si="0"/>
        <v>9.8488578017961039</v>
      </c>
      <c r="K5" s="15">
        <f t="shared" si="0"/>
        <v>10.770329614269007</v>
      </c>
      <c r="L5" s="15">
        <f t="shared" si="1"/>
        <v>11.704699910719626</v>
      </c>
      <c r="M5" s="2">
        <f t="shared" si="1"/>
        <v>12.649110640673518</v>
      </c>
      <c r="N5" s="2">
        <f t="shared" si="1"/>
        <v>13.601470508735444</v>
      </c>
      <c r="O5" s="2">
        <f t="shared" si="1"/>
        <v>14.560219778561036</v>
      </c>
      <c r="P5" s="2">
        <f t="shared" si="1"/>
        <v>15.524174696260024</v>
      </c>
      <c r="Q5" s="2">
        <f t="shared" si="1"/>
        <v>16.492422502470642</v>
      </c>
      <c r="R5" s="2">
        <f t="shared" si="1"/>
        <v>17.464249196572979</v>
      </c>
      <c r="S5" s="2">
        <f t="shared" si="1"/>
        <v>18.439088914585774</v>
      </c>
      <c r="T5" s="2">
        <f t="shared" si="1"/>
        <v>19.416487838947599</v>
      </c>
      <c r="U5" s="2">
        <f t="shared" si="1"/>
        <v>20.396078054371138</v>
      </c>
      <c r="V5" s="2">
        <f t="shared" si="2"/>
        <v>21.377558326431949</v>
      </c>
      <c r="W5" s="2">
        <f t="shared" si="2"/>
        <v>22.360679774997898</v>
      </c>
      <c r="X5" s="2">
        <f t="shared" si="2"/>
        <v>23.345235059857504</v>
      </c>
      <c r="Y5" s="2">
        <f t="shared" si="2"/>
        <v>24.331050121192877</v>
      </c>
      <c r="Z5" s="2">
        <f t="shared" si="2"/>
        <v>25.317977802344327</v>
      </c>
      <c r="AA5" s="2">
        <f t="shared" si="2"/>
        <v>26.305892875931811</v>
      </c>
      <c r="AB5" s="2">
        <f t="shared" si="2"/>
        <v>27.294688127912362</v>
      </c>
      <c r="AC5" s="2">
        <f t="shared" si="2"/>
        <v>28.284271247461902</v>
      </c>
      <c r="AD5" s="2">
        <f t="shared" si="2"/>
        <v>29.274562336608895</v>
      </c>
      <c r="AE5" s="2">
        <f t="shared" si="2"/>
        <v>30.265491900843113</v>
      </c>
      <c r="AF5" s="2">
        <f t="shared" si="3"/>
        <v>31.256999216175569</v>
      </c>
      <c r="AG5" s="2">
        <f t="shared" si="3"/>
        <v>32.249030993194197</v>
      </c>
      <c r="AH5" s="2">
        <f t="shared" si="3"/>
        <v>33.241540277189323</v>
      </c>
      <c r="AI5" s="2">
        <f t="shared" si="3"/>
        <v>34.23448553724738</v>
      </c>
      <c r="AJ5" s="2">
        <f t="shared" si="3"/>
        <v>35.227829907617071</v>
      </c>
      <c r="AK5" s="2">
        <f t="shared" si="3"/>
        <v>36.221540552549669</v>
      </c>
      <c r="AL5" s="2">
        <f t="shared" si="3"/>
        <v>37.215588131856791</v>
      </c>
      <c r="AM5" s="2">
        <f t="shared" si="3"/>
        <v>38.209946349085598</v>
      </c>
      <c r="AN5" s="2">
        <f t="shared" si="3"/>
        <v>39.204591567825318</v>
      </c>
      <c r="AO5" s="11">
        <f t="shared" si="3"/>
        <v>40.19950248448356</v>
      </c>
      <c r="AP5" s="2">
        <f t="shared" si="4"/>
        <v>41.194659848091959</v>
      </c>
      <c r="AQ5" s="2">
        <f t="shared" si="4"/>
        <v>42.190046219457976</v>
      </c>
      <c r="AR5" s="2">
        <f t="shared" si="4"/>
        <v>43.185645763378368</v>
      </c>
      <c r="AS5" s="2">
        <f t="shared" si="4"/>
        <v>44.181444068749045</v>
      </c>
      <c r="AT5" s="2">
        <f t="shared" si="4"/>
        <v>45.177427992306072</v>
      </c>
      <c r="AU5" s="2">
        <f t="shared" si="4"/>
        <v>46.173585522460783</v>
      </c>
      <c r="AV5" s="2">
        <f t="shared" si="4"/>
        <v>47.169905660283021</v>
      </c>
      <c r="AW5" s="2">
        <f t="shared" si="4"/>
        <v>48.166378315169183</v>
      </c>
      <c r="AX5" s="2">
        <f t="shared" si="4"/>
        <v>49.162994213127419</v>
      </c>
      <c r="AY5" s="11">
        <f t="shared" si="4"/>
        <v>50.159744815937813</v>
      </c>
    </row>
    <row r="6" spans="1:52" x14ac:dyDescent="0.25">
      <c r="A6" s="2">
        <v>5</v>
      </c>
      <c r="B6" s="2">
        <f t="shared" si="0"/>
        <v>5.0990195135927845</v>
      </c>
      <c r="C6" s="2">
        <f t="shared" si="0"/>
        <v>5.3851648071345037</v>
      </c>
      <c r="D6" s="2">
        <f t="shared" si="0"/>
        <v>5.8309518948453007</v>
      </c>
      <c r="E6" s="2">
        <f t="shared" si="0"/>
        <v>6.4031242374328485</v>
      </c>
      <c r="F6" s="2">
        <f t="shared" si="0"/>
        <v>7.0710678118654755</v>
      </c>
      <c r="G6" s="2">
        <f t="shared" si="0"/>
        <v>7.810249675906654</v>
      </c>
      <c r="H6" s="2">
        <f t="shared" si="0"/>
        <v>8.6023252670426267</v>
      </c>
      <c r="I6" s="2">
        <f t="shared" si="0"/>
        <v>9.4339811320566032</v>
      </c>
      <c r="J6" s="2">
        <f t="shared" si="0"/>
        <v>10.295630140987001</v>
      </c>
      <c r="K6" s="15">
        <f t="shared" si="0"/>
        <v>11.180339887498949</v>
      </c>
      <c r="L6" s="15">
        <f t="shared" si="1"/>
        <v>12.083045973594572</v>
      </c>
      <c r="M6" s="2">
        <f t="shared" si="1"/>
        <v>13</v>
      </c>
      <c r="N6" s="2">
        <f t="shared" si="1"/>
        <v>13.928388277184119</v>
      </c>
      <c r="O6" s="2">
        <f t="shared" si="1"/>
        <v>14.866068747318506</v>
      </c>
      <c r="P6" s="2">
        <f t="shared" si="1"/>
        <v>15.811388300841896</v>
      </c>
      <c r="Q6" s="2">
        <f t="shared" si="1"/>
        <v>16.763054614240211</v>
      </c>
      <c r="R6" s="2">
        <f t="shared" si="1"/>
        <v>17.720045146669349</v>
      </c>
      <c r="S6" s="2">
        <f t="shared" si="1"/>
        <v>18.681541692269406</v>
      </c>
      <c r="T6" s="2">
        <f t="shared" si="1"/>
        <v>19.646882704388499</v>
      </c>
      <c r="U6" s="2">
        <f t="shared" si="1"/>
        <v>20.615528128088304</v>
      </c>
      <c r="V6" s="2">
        <f t="shared" si="2"/>
        <v>21.587033144922902</v>
      </c>
      <c r="W6" s="2">
        <f t="shared" si="2"/>
        <v>22.561028345356956</v>
      </c>
      <c r="X6" s="2">
        <f t="shared" si="2"/>
        <v>23.53720459187964</v>
      </c>
      <c r="Y6" s="2">
        <f t="shared" si="2"/>
        <v>24.515301344262525</v>
      </c>
      <c r="Z6" s="2">
        <f t="shared" si="2"/>
        <v>25.495097567963924</v>
      </c>
      <c r="AA6" s="2">
        <f t="shared" si="2"/>
        <v>26.476404589747453</v>
      </c>
      <c r="AB6" s="2">
        <f t="shared" si="2"/>
        <v>27.459060435491963</v>
      </c>
      <c r="AC6" s="2">
        <f t="shared" si="2"/>
        <v>28.442925306655784</v>
      </c>
      <c r="AD6" s="2">
        <f t="shared" si="2"/>
        <v>29.427877939124322</v>
      </c>
      <c r="AE6" s="2">
        <f t="shared" si="2"/>
        <v>30.413812651491099</v>
      </c>
      <c r="AF6" s="2">
        <f t="shared" si="3"/>
        <v>31.400636936215164</v>
      </c>
      <c r="AG6" s="2">
        <f t="shared" si="3"/>
        <v>32.388269481403292</v>
      </c>
      <c r="AH6" s="2">
        <f t="shared" si="3"/>
        <v>33.376638536557273</v>
      </c>
      <c r="AI6" s="2">
        <f t="shared" si="3"/>
        <v>34.365680554879162</v>
      </c>
      <c r="AJ6" s="2">
        <f t="shared" si="3"/>
        <v>35.355339059327378</v>
      </c>
      <c r="AK6" s="2">
        <f t="shared" si="3"/>
        <v>36.345563690772494</v>
      </c>
      <c r="AL6" s="2">
        <f t="shared" si="3"/>
        <v>37.336309405188942</v>
      </c>
      <c r="AM6" s="2">
        <f t="shared" si="3"/>
        <v>38.327535793473601</v>
      </c>
      <c r="AN6" s="2">
        <f t="shared" si="3"/>
        <v>39.319206502675002</v>
      </c>
      <c r="AO6" s="11">
        <f t="shared" si="3"/>
        <v>40.311288741492746</v>
      </c>
      <c r="AP6" s="2">
        <f t="shared" si="4"/>
        <v>41.303752856126764</v>
      </c>
      <c r="AQ6" s="2">
        <f t="shared" si="4"/>
        <v>42.296571965113202</v>
      </c>
      <c r="AR6" s="2">
        <f t="shared" si="4"/>
        <v>43.289721643826724</v>
      </c>
      <c r="AS6" s="2">
        <f t="shared" si="4"/>
        <v>44.283179650969061</v>
      </c>
      <c r="AT6" s="2">
        <f t="shared" si="4"/>
        <v>45.276925690687087</v>
      </c>
      <c r="AU6" s="2">
        <f t="shared" si="4"/>
        <v>46.270941205037097</v>
      </c>
      <c r="AV6" s="2">
        <f t="shared" si="4"/>
        <v>47.265209192385896</v>
      </c>
      <c r="AW6" s="2">
        <f t="shared" si="4"/>
        <v>48.259714048054619</v>
      </c>
      <c r="AX6" s="2">
        <f t="shared" si="4"/>
        <v>49.254441424099006</v>
      </c>
      <c r="AY6" s="11">
        <f t="shared" si="4"/>
        <v>50.24937810560445</v>
      </c>
    </row>
    <row r="7" spans="1:52" ht="15.75" thickBot="1" x14ac:dyDescent="0.3">
      <c r="A7" s="2">
        <v>6</v>
      </c>
      <c r="B7" s="2">
        <f t="shared" si="0"/>
        <v>6.0827625302982193</v>
      </c>
      <c r="C7" s="2">
        <f t="shared" si="0"/>
        <v>6.324555320336759</v>
      </c>
      <c r="D7" s="2">
        <f t="shared" si="0"/>
        <v>6.7082039324993694</v>
      </c>
      <c r="E7" s="2">
        <f t="shared" si="0"/>
        <v>7.2111025509279782</v>
      </c>
      <c r="F7" s="2">
        <f t="shared" si="0"/>
        <v>7.810249675906654</v>
      </c>
      <c r="G7" s="2">
        <f t="shared" si="0"/>
        <v>8.4852813742385695</v>
      </c>
      <c r="H7" s="2">
        <f t="shared" si="0"/>
        <v>9.2195444572928871</v>
      </c>
      <c r="I7" s="2">
        <f t="shared" si="0"/>
        <v>10</v>
      </c>
      <c r="J7" s="2">
        <f t="shared" si="0"/>
        <v>10.816653826391969</v>
      </c>
      <c r="K7" s="15">
        <f t="shared" si="0"/>
        <v>11.661903789690601</v>
      </c>
      <c r="L7" s="15">
        <f t="shared" si="1"/>
        <v>12.529964086141668</v>
      </c>
      <c r="M7" s="2">
        <f t="shared" si="1"/>
        <v>13.416407864998739</v>
      </c>
      <c r="N7" s="2">
        <f t="shared" si="1"/>
        <v>14.317821063276353</v>
      </c>
      <c r="O7" s="2">
        <f t="shared" si="1"/>
        <v>15.231546211727817</v>
      </c>
      <c r="P7" s="2">
        <f t="shared" si="1"/>
        <v>16.15549442140351</v>
      </c>
      <c r="Q7" s="2">
        <f t="shared" si="1"/>
        <v>17.088007490635061</v>
      </c>
      <c r="R7" s="2">
        <f t="shared" si="1"/>
        <v>18.027756377319946</v>
      </c>
      <c r="S7" s="2">
        <f t="shared" si="1"/>
        <v>18.973665961010276</v>
      </c>
      <c r="T7" s="2">
        <f t="shared" si="1"/>
        <v>19.924858845171276</v>
      </c>
      <c r="U7" s="2">
        <f t="shared" si="1"/>
        <v>20.880613017821101</v>
      </c>
      <c r="V7" s="2">
        <f t="shared" si="2"/>
        <v>21.840329667841555</v>
      </c>
      <c r="W7" s="2">
        <f t="shared" si="2"/>
        <v>22.803508501982758</v>
      </c>
      <c r="X7" s="2">
        <f t="shared" si="2"/>
        <v>23.769728648009426</v>
      </c>
      <c r="Y7" s="2">
        <f t="shared" si="2"/>
        <v>24.738633753705962</v>
      </c>
      <c r="Z7" s="2">
        <f t="shared" si="2"/>
        <v>25.709920264364882</v>
      </c>
      <c r="AA7" s="2">
        <f t="shared" si="2"/>
        <v>26.683328128252668</v>
      </c>
      <c r="AB7" s="2">
        <f t="shared" si="2"/>
        <v>27.658633371878661</v>
      </c>
      <c r="AC7" s="2">
        <f t="shared" si="2"/>
        <v>28.635642126552707</v>
      </c>
      <c r="AD7" s="2">
        <f t="shared" si="2"/>
        <v>29.614185789921695</v>
      </c>
      <c r="AE7" s="2">
        <f t="shared" si="2"/>
        <v>30.594117081556711</v>
      </c>
      <c r="AF7" s="2">
        <f t="shared" si="3"/>
        <v>31.575306807693888</v>
      </c>
      <c r="AG7" s="2">
        <f t="shared" si="3"/>
        <v>32.557641192199412</v>
      </c>
      <c r="AH7" s="2">
        <f t="shared" si="3"/>
        <v>33.541019662496844</v>
      </c>
      <c r="AI7" s="2">
        <f t="shared" si="3"/>
        <v>34.525353003264136</v>
      </c>
      <c r="AJ7" s="2">
        <f t="shared" si="3"/>
        <v>35.510561809129406</v>
      </c>
      <c r="AK7" s="2">
        <f t="shared" si="3"/>
        <v>36.496575181789318</v>
      </c>
      <c r="AL7" s="2">
        <f t="shared" si="3"/>
        <v>37.483329627982627</v>
      </c>
      <c r="AM7" s="2">
        <f t="shared" si="3"/>
        <v>38.470768123342687</v>
      </c>
      <c r="AN7" s="2">
        <f t="shared" si="3"/>
        <v>39.45883931389772</v>
      </c>
      <c r="AO7" s="17">
        <f t="shared" si="3"/>
        <v>40.447496832313369</v>
      </c>
      <c r="AP7" s="2">
        <f t="shared" si="4"/>
        <v>41.43669871020132</v>
      </c>
      <c r="AQ7" s="2">
        <f t="shared" si="4"/>
        <v>42.426406871192853</v>
      </c>
      <c r="AR7" s="2">
        <f t="shared" si="4"/>
        <v>43.416586692184822</v>
      </c>
      <c r="AS7" s="2">
        <f t="shared" si="4"/>
        <v>44.407206622349037</v>
      </c>
      <c r="AT7" s="2">
        <f t="shared" si="4"/>
        <v>45.398237851264668</v>
      </c>
      <c r="AU7" s="2">
        <f t="shared" si="4"/>
        <v>46.389654018972806</v>
      </c>
      <c r="AV7" s="2">
        <f t="shared" si="4"/>
        <v>47.381430961928537</v>
      </c>
      <c r="AW7" s="2">
        <f t="shared" si="4"/>
        <v>48.373546489791295</v>
      </c>
      <c r="AX7" s="2">
        <f t="shared" si="4"/>
        <v>49.365980188789933</v>
      </c>
      <c r="AY7" s="11">
        <f t="shared" si="4"/>
        <v>50.358713248056688</v>
      </c>
    </row>
    <row r="8" spans="1:52" ht="15.75" thickBot="1" x14ac:dyDescent="0.3">
      <c r="A8" s="2">
        <v>7</v>
      </c>
      <c r="B8" s="2">
        <f t="shared" si="0"/>
        <v>7.0710678118654755</v>
      </c>
      <c r="C8" s="2">
        <f t="shared" si="0"/>
        <v>7.2801098892805181</v>
      </c>
      <c r="D8" s="2">
        <f t="shared" si="0"/>
        <v>7.6157731058639087</v>
      </c>
      <c r="E8" s="2">
        <f t="shared" si="0"/>
        <v>8.0622577482985491</v>
      </c>
      <c r="F8" s="2">
        <f t="shared" si="0"/>
        <v>8.6023252670426267</v>
      </c>
      <c r="G8" s="2">
        <f t="shared" si="0"/>
        <v>9.2195444572928871</v>
      </c>
      <c r="H8" s="2">
        <f t="shared" si="0"/>
        <v>9.8994949366116654</v>
      </c>
      <c r="I8" s="2">
        <f t="shared" si="0"/>
        <v>10.63014581273465</v>
      </c>
      <c r="J8" s="2">
        <f t="shared" si="0"/>
        <v>11.401754250991379</v>
      </c>
      <c r="K8" s="15">
        <f t="shared" si="0"/>
        <v>12.206555615733702</v>
      </c>
      <c r="L8" s="15">
        <f t="shared" si="1"/>
        <v>13.038404810405298</v>
      </c>
      <c r="M8" s="2">
        <f t="shared" si="1"/>
        <v>13.892443989449804</v>
      </c>
      <c r="N8" s="2">
        <f t="shared" si="1"/>
        <v>14.7648230602334</v>
      </c>
      <c r="O8" s="2">
        <f t="shared" si="1"/>
        <v>15.652475842498529</v>
      </c>
      <c r="P8" s="2">
        <f t="shared" si="1"/>
        <v>16.552945357246848</v>
      </c>
      <c r="Q8" s="2">
        <f t="shared" si="1"/>
        <v>17.464249196572979</v>
      </c>
      <c r="R8" s="2">
        <f t="shared" si="1"/>
        <v>18.384776310850235</v>
      </c>
      <c r="S8" s="2">
        <f t="shared" si="1"/>
        <v>19.313207915827967</v>
      </c>
      <c r="T8" s="2">
        <f t="shared" si="1"/>
        <v>20.248456731316587</v>
      </c>
      <c r="U8" s="2">
        <f t="shared" si="1"/>
        <v>21.189620100417091</v>
      </c>
      <c r="V8" s="2">
        <f t="shared" si="2"/>
        <v>22.135943621178654</v>
      </c>
      <c r="W8" s="2">
        <f t="shared" si="2"/>
        <v>23.086792761230392</v>
      </c>
      <c r="X8" s="2">
        <f t="shared" si="2"/>
        <v>24.041630560342615</v>
      </c>
      <c r="Y8" s="2">
        <f t="shared" si="2"/>
        <v>25</v>
      </c>
      <c r="Z8" s="2">
        <f t="shared" si="2"/>
        <v>25.96150997149434</v>
      </c>
      <c r="AA8" s="2">
        <f t="shared" si="2"/>
        <v>26.92582403567252</v>
      </c>
      <c r="AB8" s="2">
        <f t="shared" si="2"/>
        <v>27.892651361962706</v>
      </c>
      <c r="AC8" s="2">
        <f t="shared" si="2"/>
        <v>28.861739379323623</v>
      </c>
      <c r="AD8" s="2">
        <f t="shared" si="2"/>
        <v>29.832867780352597</v>
      </c>
      <c r="AE8" s="2">
        <f t="shared" si="2"/>
        <v>30.805843601498726</v>
      </c>
      <c r="AF8" s="2">
        <f t="shared" si="3"/>
        <v>31.780497164141408</v>
      </c>
      <c r="AG8" s="2">
        <f t="shared" si="3"/>
        <v>32.756678708318397</v>
      </c>
      <c r="AH8" s="2">
        <f t="shared" si="3"/>
        <v>33.734255586865999</v>
      </c>
      <c r="AI8" s="2">
        <f t="shared" si="3"/>
        <v>34.713109915419565</v>
      </c>
      <c r="AJ8" s="2">
        <f t="shared" si="3"/>
        <v>35.693136595149497</v>
      </c>
      <c r="AK8" s="2">
        <f t="shared" si="3"/>
        <v>36.674241641784498</v>
      </c>
      <c r="AL8" s="2">
        <f t="shared" si="3"/>
        <v>37.656340767525464</v>
      </c>
      <c r="AM8" s="2">
        <f t="shared" si="3"/>
        <v>38.639358172723313</v>
      </c>
      <c r="AN8" s="9">
        <f t="shared" si="3"/>
        <v>39.623225512317902</v>
      </c>
      <c r="AO8" s="16">
        <f t="shared" si="3"/>
        <v>40.607881008493905</v>
      </c>
      <c r="AP8" s="2">
        <f t="shared" si="4"/>
        <v>41.593268686170845</v>
      </c>
      <c r="AQ8" s="2">
        <f t="shared" si="4"/>
        <v>42.579337712087536</v>
      </c>
      <c r="AR8" s="2">
        <f t="shared" si="4"/>
        <v>43.56604182158393</v>
      </c>
      <c r="AS8" s="2">
        <f t="shared" si="4"/>
        <v>44.553338819890925</v>
      </c>
      <c r="AT8" s="2">
        <f t="shared" si="4"/>
        <v>45.541190146942803</v>
      </c>
      <c r="AU8" s="2">
        <f t="shared" si="4"/>
        <v>46.529560496527367</v>
      </c>
      <c r="AV8" s="2">
        <f t="shared" si="4"/>
        <v>47.518417482066887</v>
      </c>
      <c r="AW8" s="2">
        <f t="shared" si="4"/>
        <v>48.507731342539614</v>
      </c>
      <c r="AX8" s="2">
        <f t="shared" si="4"/>
        <v>49.497474683058329</v>
      </c>
      <c r="AY8" s="10">
        <f t="shared" si="4"/>
        <v>50.487622245457352</v>
      </c>
    </row>
    <row r="9" spans="1:52" x14ac:dyDescent="0.25">
      <c r="A9" s="2">
        <v>8</v>
      </c>
      <c r="B9" s="2">
        <f t="shared" si="0"/>
        <v>8.0622577482985491</v>
      </c>
      <c r="C9" s="2">
        <f t="shared" si="0"/>
        <v>8.2462112512353212</v>
      </c>
      <c r="D9" s="2">
        <f t="shared" si="0"/>
        <v>8.5440037453175304</v>
      </c>
      <c r="E9" s="2">
        <f t="shared" si="0"/>
        <v>8.9442719099991592</v>
      </c>
      <c r="F9" s="2">
        <f t="shared" si="0"/>
        <v>9.4339811320566032</v>
      </c>
      <c r="G9" s="2">
        <f t="shared" si="0"/>
        <v>10</v>
      </c>
      <c r="H9" s="2">
        <f t="shared" si="0"/>
        <v>10.63014581273465</v>
      </c>
      <c r="I9" s="2">
        <f t="shared" si="0"/>
        <v>11.313708498984761</v>
      </c>
      <c r="J9" s="2">
        <f t="shared" si="0"/>
        <v>12.041594578792296</v>
      </c>
      <c r="K9" s="15">
        <f t="shared" si="0"/>
        <v>12.806248474865697</v>
      </c>
      <c r="L9" s="15">
        <f t="shared" si="1"/>
        <v>13.601470508735444</v>
      </c>
      <c r="M9" s="2">
        <f t="shared" si="1"/>
        <v>14.422205101855956</v>
      </c>
      <c r="N9" s="2">
        <f t="shared" si="1"/>
        <v>15.264337522473747</v>
      </c>
      <c r="O9" s="2">
        <f t="shared" si="1"/>
        <v>16.124515496597098</v>
      </c>
      <c r="P9" s="2">
        <f t="shared" si="1"/>
        <v>17</v>
      </c>
      <c r="Q9" s="2">
        <f t="shared" si="1"/>
        <v>17.888543819998318</v>
      </c>
      <c r="R9" s="2">
        <f t="shared" si="1"/>
        <v>18.788294228055936</v>
      </c>
      <c r="S9" s="2">
        <f t="shared" si="1"/>
        <v>19.697715603592208</v>
      </c>
      <c r="T9" s="2">
        <f t="shared" si="1"/>
        <v>20.615528128088304</v>
      </c>
      <c r="U9" s="2">
        <f t="shared" si="1"/>
        <v>21.540659228538015</v>
      </c>
      <c r="V9" s="2">
        <f t="shared" si="2"/>
        <v>22.472205054244231</v>
      </c>
      <c r="W9" s="2">
        <f t="shared" si="2"/>
        <v>23.409399821439251</v>
      </c>
      <c r="X9" s="2">
        <f t="shared" si="2"/>
        <v>24.351591323771842</v>
      </c>
      <c r="Y9" s="2">
        <f t="shared" si="2"/>
        <v>25.298221281347036</v>
      </c>
      <c r="Z9" s="2">
        <f t="shared" si="2"/>
        <v>26.248809496813376</v>
      </c>
      <c r="AA9" s="2">
        <f t="shared" si="2"/>
        <v>27.202941017470888</v>
      </c>
      <c r="AB9" s="2">
        <f t="shared" si="2"/>
        <v>28.160255680657446</v>
      </c>
      <c r="AC9" s="2">
        <f t="shared" si="2"/>
        <v>29.120439557122072</v>
      </c>
      <c r="AD9" s="2">
        <f t="shared" si="2"/>
        <v>30.083217912982647</v>
      </c>
      <c r="AE9" s="2">
        <f t="shared" si="2"/>
        <v>31.048349392520048</v>
      </c>
      <c r="AF9" s="2">
        <f t="shared" si="3"/>
        <v>32.015621187164243</v>
      </c>
      <c r="AG9" s="2">
        <f t="shared" si="3"/>
        <v>32.984845004941285</v>
      </c>
      <c r="AH9" s="2">
        <f t="shared" si="3"/>
        <v>33.955853692699293</v>
      </c>
      <c r="AI9" s="2">
        <f t="shared" si="3"/>
        <v>34.928498393145958</v>
      </c>
      <c r="AJ9" s="2">
        <f t="shared" si="3"/>
        <v>35.902646142032481</v>
      </c>
      <c r="AK9" s="2">
        <f t="shared" si="3"/>
        <v>36.878177829171548</v>
      </c>
      <c r="AL9" s="2">
        <f t="shared" si="3"/>
        <v>37.8549864614954</v>
      </c>
      <c r="AM9" s="2">
        <f t="shared" si="3"/>
        <v>38.832975677895199</v>
      </c>
      <c r="AN9" s="11">
        <f t="shared" si="3"/>
        <v>39.812058474788763</v>
      </c>
      <c r="AO9" s="2">
        <f t="shared" si="3"/>
        <v>40.792156108742276</v>
      </c>
      <c r="AP9" s="2">
        <f t="shared" si="4"/>
        <v>41.773197148410844</v>
      </c>
      <c r="AQ9" s="2">
        <f t="shared" si="4"/>
        <v>42.755116652863897</v>
      </c>
      <c r="AR9" s="2">
        <f t="shared" si="4"/>
        <v>43.737855457258078</v>
      </c>
      <c r="AS9" s="2">
        <f t="shared" si="4"/>
        <v>44.721359549995796</v>
      </c>
      <c r="AT9" s="2">
        <f t="shared" si="4"/>
        <v>45.705579528105758</v>
      </c>
      <c r="AU9" s="2">
        <f t="shared" si="4"/>
        <v>46.690470119715009</v>
      </c>
      <c r="AV9" s="2">
        <f t="shared" si="4"/>
        <v>47.675989764240867</v>
      </c>
      <c r="AW9" s="2">
        <f t="shared" si="4"/>
        <v>48.662100242385755</v>
      </c>
      <c r="AX9" s="9">
        <f t="shared" si="4"/>
        <v>49.648766349225639</v>
      </c>
      <c r="AY9" s="2">
        <f t="shared" si="4"/>
        <v>50.635955604688654</v>
      </c>
    </row>
    <row r="10" spans="1:52" x14ac:dyDescent="0.25">
      <c r="A10" s="2">
        <v>9</v>
      </c>
      <c r="B10" s="2">
        <f t="shared" si="0"/>
        <v>9.0553851381374173</v>
      </c>
      <c r="C10" s="2">
        <f t="shared" si="0"/>
        <v>9.2195444572928871</v>
      </c>
      <c r="D10" s="2">
        <f t="shared" si="0"/>
        <v>9.4868329805051381</v>
      </c>
      <c r="E10" s="2">
        <f t="shared" si="0"/>
        <v>9.8488578017961039</v>
      </c>
      <c r="F10" s="2">
        <f t="shared" si="0"/>
        <v>10.295630140987001</v>
      </c>
      <c r="G10" s="2">
        <f t="shared" si="0"/>
        <v>10.816653826391969</v>
      </c>
      <c r="H10" s="2">
        <f t="shared" si="0"/>
        <v>11.401754250991379</v>
      </c>
      <c r="I10" s="2">
        <f t="shared" si="0"/>
        <v>12.041594578792296</v>
      </c>
      <c r="J10" s="2">
        <f t="shared" si="0"/>
        <v>12.727922061357855</v>
      </c>
      <c r="K10" s="15">
        <f t="shared" si="0"/>
        <v>13.45362404707371</v>
      </c>
      <c r="L10" s="15">
        <f t="shared" si="1"/>
        <v>14.212670403551895</v>
      </c>
      <c r="M10" s="2">
        <f t="shared" si="1"/>
        <v>15</v>
      </c>
      <c r="N10" s="2">
        <f t="shared" si="1"/>
        <v>15.811388300841896</v>
      </c>
      <c r="O10" s="2">
        <f t="shared" si="1"/>
        <v>16.643316977093239</v>
      </c>
      <c r="P10" s="2">
        <f t="shared" si="1"/>
        <v>17.4928556845359</v>
      </c>
      <c r="Q10" s="2">
        <f t="shared" si="1"/>
        <v>18.357559750685819</v>
      </c>
      <c r="R10" s="2">
        <f t="shared" si="1"/>
        <v>19.235384061671343</v>
      </c>
      <c r="S10" s="2">
        <f t="shared" si="1"/>
        <v>20.124611797498108</v>
      </c>
      <c r="T10" s="2">
        <f t="shared" si="1"/>
        <v>21.023796041628639</v>
      </c>
      <c r="U10" s="2">
        <f t="shared" si="1"/>
        <v>21.931712199461309</v>
      </c>
      <c r="V10" s="2">
        <f t="shared" si="2"/>
        <v>22.847319317591726</v>
      </c>
      <c r="W10" s="2">
        <f t="shared" si="2"/>
        <v>23.769728648009426</v>
      </c>
      <c r="X10" s="2">
        <f t="shared" si="2"/>
        <v>24.698178070456937</v>
      </c>
      <c r="Y10" s="2">
        <f t="shared" si="2"/>
        <v>25.632011235952593</v>
      </c>
      <c r="Z10" s="2">
        <f t="shared" si="2"/>
        <v>26.570660511172846</v>
      </c>
      <c r="AA10" s="2">
        <f t="shared" si="2"/>
        <v>27.513632984395208</v>
      </c>
      <c r="AB10" s="2">
        <f t="shared" si="2"/>
        <v>28.460498941515414</v>
      </c>
      <c r="AC10" s="2">
        <f t="shared" si="2"/>
        <v>29.410882339705484</v>
      </c>
      <c r="AD10" s="2">
        <f t="shared" si="2"/>
        <v>30.364452901377952</v>
      </c>
      <c r="AE10" s="2">
        <f t="shared" si="2"/>
        <v>31.32091952673165</v>
      </c>
      <c r="AF10" s="2">
        <f t="shared" si="3"/>
        <v>32.280024783137947</v>
      </c>
      <c r="AG10" s="2">
        <f t="shared" si="3"/>
        <v>33.241540277189323</v>
      </c>
      <c r="AH10" s="2">
        <f t="shared" si="3"/>
        <v>34.205262752974143</v>
      </c>
      <c r="AI10" s="2">
        <f t="shared" si="3"/>
        <v>35.171010790137949</v>
      </c>
      <c r="AJ10" s="2">
        <f t="shared" si="3"/>
        <v>36.138621999185304</v>
      </c>
      <c r="AK10" s="2">
        <f t="shared" si="3"/>
        <v>37.107950630558946</v>
      </c>
      <c r="AL10" s="2">
        <f t="shared" si="3"/>
        <v>38.078865529319543</v>
      </c>
      <c r="AM10" s="2">
        <f t="shared" si="3"/>
        <v>39.05124837953327</v>
      </c>
      <c r="AN10" s="11">
        <f t="shared" si="3"/>
        <v>40.024992192379003</v>
      </c>
      <c r="AO10" s="2">
        <f t="shared" si="3"/>
        <v>41</v>
      </c>
      <c r="AP10" s="2">
        <f t="shared" si="4"/>
        <v>41.976183723630712</v>
      </c>
      <c r="AQ10" s="2">
        <f t="shared" si="4"/>
        <v>42.953463189829058</v>
      </c>
      <c r="AR10" s="2">
        <f t="shared" si="4"/>
        <v>43.931765272977593</v>
      </c>
      <c r="AS10" s="2">
        <f t="shared" si="4"/>
        <v>44.911023145771239</v>
      </c>
      <c r="AT10" s="2">
        <f t="shared" si="4"/>
        <v>45.891175622335062</v>
      </c>
      <c r="AU10" s="2">
        <f t="shared" si="4"/>
        <v>46.872166581031863</v>
      </c>
      <c r="AV10" s="2">
        <f t="shared" si="4"/>
        <v>47.853944456021594</v>
      </c>
      <c r="AW10" s="2">
        <f t="shared" si="4"/>
        <v>48.836461788299118</v>
      </c>
      <c r="AX10" s="11">
        <f t="shared" si="4"/>
        <v>49.819674828324601</v>
      </c>
      <c r="AY10" s="2">
        <f t="shared" si="4"/>
        <v>50.803543183522152</v>
      </c>
    </row>
    <row r="11" spans="1:52" ht="15.75" thickBot="1" x14ac:dyDescent="0.3">
      <c r="A11" s="2">
        <v>10</v>
      </c>
      <c r="B11" s="2">
        <f t="shared" si="0"/>
        <v>10.04987562112089</v>
      </c>
      <c r="C11" s="2">
        <f t="shared" si="0"/>
        <v>10.198039027185569</v>
      </c>
      <c r="D11" s="2">
        <f t="shared" si="0"/>
        <v>10.440306508910551</v>
      </c>
      <c r="E11" s="2">
        <f t="shared" si="0"/>
        <v>10.770329614269007</v>
      </c>
      <c r="F11" s="2">
        <f t="shared" si="0"/>
        <v>11.180339887498949</v>
      </c>
      <c r="G11" s="2">
        <f t="shared" si="0"/>
        <v>11.661903789690601</v>
      </c>
      <c r="H11" s="2">
        <f t="shared" si="0"/>
        <v>12.206555615733702</v>
      </c>
      <c r="I11" s="2">
        <f t="shared" si="0"/>
        <v>12.806248474865697</v>
      </c>
      <c r="J11" s="2">
        <f t="shared" si="0"/>
        <v>13.45362404707371</v>
      </c>
      <c r="K11" s="15">
        <f t="shared" si="0"/>
        <v>14.142135623730951</v>
      </c>
      <c r="L11" s="15">
        <f t="shared" si="1"/>
        <v>14.866068747318506</v>
      </c>
      <c r="M11" s="2">
        <f t="shared" si="1"/>
        <v>15.620499351813308</v>
      </c>
      <c r="N11" s="2">
        <f t="shared" si="1"/>
        <v>16.401219466856727</v>
      </c>
      <c r="O11" s="2">
        <f t="shared" si="1"/>
        <v>17.204650534085253</v>
      </c>
      <c r="P11" s="2">
        <f t="shared" si="1"/>
        <v>18.027756377319946</v>
      </c>
      <c r="Q11" s="2">
        <f t="shared" si="1"/>
        <v>18.867962264113206</v>
      </c>
      <c r="R11" s="2">
        <f t="shared" si="1"/>
        <v>19.723082923316021</v>
      </c>
      <c r="S11" s="2">
        <f t="shared" si="1"/>
        <v>20.591260281974002</v>
      </c>
      <c r="T11" s="2">
        <f t="shared" si="1"/>
        <v>21.470910553583888</v>
      </c>
      <c r="U11" s="2">
        <f t="shared" si="1"/>
        <v>22.360679774997898</v>
      </c>
      <c r="V11" s="2">
        <f t="shared" si="2"/>
        <v>23.259406699226016</v>
      </c>
      <c r="W11" s="2">
        <f t="shared" si="2"/>
        <v>24.166091947189145</v>
      </c>
      <c r="X11" s="2">
        <f t="shared" si="2"/>
        <v>25.079872407968907</v>
      </c>
      <c r="Y11" s="2">
        <f t="shared" si="2"/>
        <v>26</v>
      </c>
      <c r="Z11" s="2">
        <f t="shared" si="2"/>
        <v>26.92582403567252</v>
      </c>
      <c r="AA11" s="2">
        <f t="shared" si="2"/>
        <v>27.856776554368238</v>
      </c>
      <c r="AB11" s="2">
        <f t="shared" si="2"/>
        <v>28.792360097775937</v>
      </c>
      <c r="AC11" s="2">
        <f t="shared" si="2"/>
        <v>29.732137494637012</v>
      </c>
      <c r="AD11" s="2">
        <f t="shared" si="2"/>
        <v>30.675723300355934</v>
      </c>
      <c r="AE11" s="2">
        <f t="shared" si="2"/>
        <v>31.622776601683793</v>
      </c>
      <c r="AF11" s="2">
        <f t="shared" si="3"/>
        <v>32.572994949804659</v>
      </c>
      <c r="AG11" s="2">
        <f t="shared" si="3"/>
        <v>33.526109228480422</v>
      </c>
      <c r="AH11" s="2">
        <f t="shared" si="3"/>
        <v>34.481879299133332</v>
      </c>
      <c r="AI11" s="2">
        <f t="shared" si="3"/>
        <v>35.440090293338699</v>
      </c>
      <c r="AJ11" s="2">
        <f t="shared" si="3"/>
        <v>36.400549446402593</v>
      </c>
      <c r="AK11" s="2">
        <f t="shared" si="3"/>
        <v>37.363083384538811</v>
      </c>
      <c r="AL11" s="2">
        <f t="shared" si="3"/>
        <v>38.327535793473601</v>
      </c>
      <c r="AM11" s="2">
        <f t="shared" si="3"/>
        <v>39.293765408776999</v>
      </c>
      <c r="AN11" s="10">
        <f t="shared" si="3"/>
        <v>40.26164427839479</v>
      </c>
      <c r="AO11" s="2">
        <f t="shared" si="3"/>
        <v>41.231056256176608</v>
      </c>
      <c r="AP11" s="2">
        <f t="shared" si="4"/>
        <v>42.201895692018383</v>
      </c>
      <c r="AQ11" s="2">
        <f t="shared" si="4"/>
        <v>43.174066289845804</v>
      </c>
      <c r="AR11" s="2">
        <f t="shared" si="4"/>
        <v>44.147480109288232</v>
      </c>
      <c r="AS11" s="2">
        <f t="shared" si="4"/>
        <v>45.122056690713912</v>
      </c>
      <c r="AT11" s="2">
        <f t="shared" si="4"/>
        <v>46.097722286464439</v>
      </c>
      <c r="AU11" s="2">
        <f t="shared" si="4"/>
        <v>47.074409183759279</v>
      </c>
      <c r="AV11" s="2">
        <f t="shared" si="4"/>
        <v>48.052055106935853</v>
      </c>
      <c r="AW11" s="2">
        <f t="shared" si="4"/>
        <v>49.03060268852505</v>
      </c>
      <c r="AX11" s="11">
        <f t="shared" si="4"/>
        <v>50.009999000199947</v>
      </c>
      <c r="AY11" s="2">
        <f t="shared" si="4"/>
        <v>50.990195135927848</v>
      </c>
    </row>
    <row r="12" spans="1:52" x14ac:dyDescent="0.25">
      <c r="A12" s="2">
        <v>11</v>
      </c>
      <c r="B12" s="2">
        <f t="shared" ref="B12:K21" si="5">SQRT($A12^2+B$1^2)</f>
        <v>11.045361017187261</v>
      </c>
      <c r="C12" s="2">
        <f t="shared" si="5"/>
        <v>11.180339887498949</v>
      </c>
      <c r="D12" s="2">
        <f t="shared" si="5"/>
        <v>11.401754250991379</v>
      </c>
      <c r="E12" s="2">
        <f t="shared" si="5"/>
        <v>11.704699910719626</v>
      </c>
      <c r="F12" s="2">
        <f t="shared" si="5"/>
        <v>12.083045973594572</v>
      </c>
      <c r="G12" s="2">
        <f t="shared" si="5"/>
        <v>12.529964086141668</v>
      </c>
      <c r="H12" s="2">
        <f t="shared" si="5"/>
        <v>13.038404810405298</v>
      </c>
      <c r="I12" s="2">
        <f t="shared" si="5"/>
        <v>13.601470508735444</v>
      </c>
      <c r="J12" s="2">
        <f t="shared" si="5"/>
        <v>14.212670403551895</v>
      </c>
      <c r="K12" s="15">
        <f t="shared" si="5"/>
        <v>14.866068747318506</v>
      </c>
      <c r="L12" s="15">
        <f t="shared" ref="L12:U21" si="6">SQRT($A12^2+L$1^2)</f>
        <v>15.556349186104045</v>
      </c>
      <c r="M12" s="2">
        <f t="shared" si="6"/>
        <v>16.278820596099706</v>
      </c>
      <c r="N12" s="2">
        <f t="shared" si="6"/>
        <v>17.029386365926403</v>
      </c>
      <c r="O12" s="2">
        <f t="shared" si="6"/>
        <v>17.804493814764857</v>
      </c>
      <c r="P12" s="2">
        <f t="shared" si="6"/>
        <v>18.601075237738275</v>
      </c>
      <c r="Q12" s="2">
        <f t="shared" si="6"/>
        <v>19.416487838947599</v>
      </c>
      <c r="R12" s="2">
        <f t="shared" si="6"/>
        <v>20.248456731316587</v>
      </c>
      <c r="S12" s="2">
        <f t="shared" si="6"/>
        <v>21.095023109728988</v>
      </c>
      <c r="T12" s="2">
        <f t="shared" si="6"/>
        <v>21.95449840010015</v>
      </c>
      <c r="U12" s="2">
        <f t="shared" si="6"/>
        <v>22.825424421026653</v>
      </c>
      <c r="V12" s="2">
        <f t="shared" ref="V12:AE21" si="7">SQRT($A12^2+V$1^2)</f>
        <v>23.706539182259394</v>
      </c>
      <c r="W12" s="2">
        <f t="shared" si="7"/>
        <v>24.596747752497688</v>
      </c>
      <c r="X12" s="2">
        <f t="shared" si="7"/>
        <v>25.495097567963924</v>
      </c>
      <c r="Y12" s="2">
        <f t="shared" si="7"/>
        <v>26.40075756488817</v>
      </c>
      <c r="Z12" s="2">
        <f t="shared" si="7"/>
        <v>27.313000567495326</v>
      </c>
      <c r="AA12" s="2">
        <f t="shared" si="7"/>
        <v>28.231188426986208</v>
      </c>
      <c r="AB12" s="2">
        <f t="shared" si="7"/>
        <v>29.154759474226502</v>
      </c>
      <c r="AC12" s="2">
        <f t="shared" si="7"/>
        <v>30.083217912982647</v>
      </c>
      <c r="AD12" s="2">
        <f t="shared" si="7"/>
        <v>31.016124838541646</v>
      </c>
      <c r="AE12" s="2">
        <f t="shared" si="7"/>
        <v>31.953090617340916</v>
      </c>
      <c r="AF12" s="2">
        <f t="shared" ref="AF12:AO21" si="8">SQRT($A12^2+AF$1^2)</f>
        <v>32.893768406797051</v>
      </c>
      <c r="AG12" s="2">
        <f t="shared" si="8"/>
        <v>33.837848631377263</v>
      </c>
      <c r="AH12" s="2">
        <f t="shared" si="8"/>
        <v>34.785054261852174</v>
      </c>
      <c r="AI12" s="2">
        <f t="shared" si="8"/>
        <v>35.735136770411273</v>
      </c>
      <c r="AJ12" s="2">
        <f t="shared" si="8"/>
        <v>36.687872655688281</v>
      </c>
      <c r="AK12" s="2">
        <f t="shared" si="8"/>
        <v>37.643060449437421</v>
      </c>
      <c r="AL12" s="2">
        <f t="shared" si="8"/>
        <v>38.600518131237564</v>
      </c>
      <c r="AM12" s="9">
        <f t="shared" si="8"/>
        <v>39.560080889704963</v>
      </c>
      <c r="AN12" s="2">
        <f t="shared" si="8"/>
        <v>40.521599178709621</v>
      </c>
      <c r="AO12" s="2">
        <f t="shared" si="8"/>
        <v>41.484937025383083</v>
      </c>
      <c r="AP12" s="2">
        <f t="shared" si="4"/>
        <v>42.449970553582247</v>
      </c>
      <c r="AQ12" s="2">
        <f t="shared" si="4"/>
        <v>43.416586692184822</v>
      </c>
      <c r="AR12" s="2">
        <f t="shared" si="4"/>
        <v>44.384682042344295</v>
      </c>
      <c r="AS12" s="2">
        <f t="shared" si="4"/>
        <v>45.354161881794269</v>
      </c>
      <c r="AT12" s="2">
        <f t="shared" si="4"/>
        <v>46.324939287601879</v>
      </c>
      <c r="AU12" s="2">
        <f t="shared" si="4"/>
        <v>47.296934361541872</v>
      </c>
      <c r="AV12" s="2">
        <f t="shared" si="4"/>
        <v>48.270073544588683</v>
      </c>
      <c r="AW12" s="2">
        <f t="shared" si="4"/>
        <v>49.244289008980523</v>
      </c>
      <c r="AX12" s="11">
        <f t="shared" si="4"/>
        <v>50.219518117958877</v>
      </c>
      <c r="AY12" s="2">
        <f t="shared" si="4"/>
        <v>51.195702944680818</v>
      </c>
    </row>
    <row r="13" spans="1:52" ht="15.75" thickBot="1" x14ac:dyDescent="0.3">
      <c r="A13" s="2">
        <v>12</v>
      </c>
      <c r="B13" s="2">
        <f t="shared" si="5"/>
        <v>12.041594578792296</v>
      </c>
      <c r="C13" s="2">
        <f t="shared" si="5"/>
        <v>12.165525060596439</v>
      </c>
      <c r="D13" s="2">
        <f t="shared" si="5"/>
        <v>12.369316876852981</v>
      </c>
      <c r="E13" s="2">
        <f t="shared" si="5"/>
        <v>12.649110640673518</v>
      </c>
      <c r="F13" s="2">
        <f t="shared" si="5"/>
        <v>13</v>
      </c>
      <c r="G13" s="2">
        <f t="shared" si="5"/>
        <v>13.416407864998739</v>
      </c>
      <c r="H13" s="2">
        <f t="shared" si="5"/>
        <v>13.892443989449804</v>
      </c>
      <c r="I13" s="2">
        <f t="shared" si="5"/>
        <v>14.422205101855956</v>
      </c>
      <c r="J13" s="2">
        <f t="shared" si="5"/>
        <v>15</v>
      </c>
      <c r="K13" s="15">
        <f t="shared" si="5"/>
        <v>15.620499351813308</v>
      </c>
      <c r="L13" s="15">
        <f t="shared" si="6"/>
        <v>16.278820596099706</v>
      </c>
      <c r="M13" s="2">
        <f t="shared" si="6"/>
        <v>16.970562748477139</v>
      </c>
      <c r="N13" s="2">
        <f t="shared" si="6"/>
        <v>17.691806012954132</v>
      </c>
      <c r="O13" s="2">
        <f t="shared" si="6"/>
        <v>18.439088914585774</v>
      </c>
      <c r="P13" s="2">
        <f t="shared" si="6"/>
        <v>19.209372712298546</v>
      </c>
      <c r="Q13" s="2">
        <f t="shared" si="6"/>
        <v>20</v>
      </c>
      <c r="R13" s="2">
        <f t="shared" si="6"/>
        <v>20.808652046684813</v>
      </c>
      <c r="S13" s="2">
        <f t="shared" si="6"/>
        <v>21.633307652783937</v>
      </c>
      <c r="T13" s="2">
        <f t="shared" si="6"/>
        <v>22.472205054244231</v>
      </c>
      <c r="U13" s="2">
        <f t="shared" si="6"/>
        <v>23.323807579381203</v>
      </c>
      <c r="V13" s="2">
        <f t="shared" si="7"/>
        <v>24.186773244895647</v>
      </c>
      <c r="W13" s="2">
        <f t="shared" si="7"/>
        <v>25.059928172283335</v>
      </c>
      <c r="X13" s="2">
        <f t="shared" si="7"/>
        <v>25.942243542145693</v>
      </c>
      <c r="Y13" s="2">
        <f t="shared" si="7"/>
        <v>26.832815729997478</v>
      </c>
      <c r="Z13" s="2">
        <f t="shared" si="7"/>
        <v>27.730849247724095</v>
      </c>
      <c r="AA13" s="2">
        <f t="shared" si="7"/>
        <v>28.635642126552707</v>
      </c>
      <c r="AB13" s="2">
        <f t="shared" si="7"/>
        <v>29.546573405388315</v>
      </c>
      <c r="AC13" s="2">
        <f t="shared" si="7"/>
        <v>30.463092423455635</v>
      </c>
      <c r="AD13" s="2">
        <f t="shared" si="7"/>
        <v>31.384709652950431</v>
      </c>
      <c r="AE13" s="2">
        <f t="shared" si="7"/>
        <v>32.310988842807021</v>
      </c>
      <c r="AF13" s="2">
        <f t="shared" si="8"/>
        <v>33.241540277189323</v>
      </c>
      <c r="AG13" s="2">
        <f t="shared" si="8"/>
        <v>34.176014981270121</v>
      </c>
      <c r="AH13" s="2">
        <f t="shared" si="8"/>
        <v>35.114099732158877</v>
      </c>
      <c r="AI13" s="2">
        <f t="shared" si="8"/>
        <v>36.055512754639892</v>
      </c>
      <c r="AJ13" s="2">
        <f t="shared" si="8"/>
        <v>37</v>
      </c>
      <c r="AK13" s="2">
        <f t="shared" si="8"/>
        <v>37.947331922020552</v>
      </c>
      <c r="AL13" s="2">
        <f t="shared" si="8"/>
        <v>38.897300677553446</v>
      </c>
      <c r="AM13" s="11">
        <f t="shared" si="8"/>
        <v>39.849717690342551</v>
      </c>
      <c r="AN13" s="2">
        <f t="shared" si="8"/>
        <v>40.80441152620633</v>
      </c>
      <c r="AO13" s="2">
        <f t="shared" si="8"/>
        <v>41.761226035642203</v>
      </c>
      <c r="AP13" s="2">
        <f t="shared" si="4"/>
        <v>42.720018726587654</v>
      </c>
      <c r="AQ13" s="2">
        <f t="shared" si="4"/>
        <v>43.68065933568311</v>
      </c>
      <c r="AR13" s="2">
        <f t="shared" si="4"/>
        <v>44.643028571099428</v>
      </c>
      <c r="AS13" s="2">
        <f t="shared" si="4"/>
        <v>45.607017003965517</v>
      </c>
      <c r="AT13" s="2">
        <f t="shared" si="4"/>
        <v>46.572524088780071</v>
      </c>
      <c r="AU13" s="2">
        <f t="shared" si="4"/>
        <v>47.539457296018853</v>
      </c>
      <c r="AV13" s="2">
        <f t="shared" si="4"/>
        <v>48.507731342539614</v>
      </c>
      <c r="AW13" s="2">
        <f t="shared" si="4"/>
        <v>49.477267507411923</v>
      </c>
      <c r="AX13" s="10">
        <f t="shared" si="4"/>
        <v>50.447993022517757</v>
      </c>
      <c r="AY13" s="2">
        <f t="shared" si="4"/>
        <v>51.419840528729765</v>
      </c>
    </row>
    <row r="14" spans="1:52" ht="15.75" thickBot="1" x14ac:dyDescent="0.3">
      <c r="A14" s="2">
        <v>13</v>
      </c>
      <c r="B14" s="2">
        <f t="shared" si="5"/>
        <v>13.038404810405298</v>
      </c>
      <c r="C14" s="2">
        <f t="shared" si="5"/>
        <v>13.152946437965905</v>
      </c>
      <c r="D14" s="2">
        <f t="shared" si="5"/>
        <v>13.341664064126334</v>
      </c>
      <c r="E14" s="2">
        <f t="shared" si="5"/>
        <v>13.601470508735444</v>
      </c>
      <c r="F14" s="2">
        <f t="shared" si="5"/>
        <v>13.928388277184119</v>
      </c>
      <c r="G14" s="2">
        <f t="shared" si="5"/>
        <v>14.317821063276353</v>
      </c>
      <c r="H14" s="2">
        <f t="shared" si="5"/>
        <v>14.7648230602334</v>
      </c>
      <c r="I14" s="2">
        <f t="shared" si="5"/>
        <v>15.264337522473747</v>
      </c>
      <c r="J14" s="2">
        <f t="shared" si="5"/>
        <v>15.811388300841896</v>
      </c>
      <c r="K14" s="15">
        <f t="shared" si="5"/>
        <v>16.401219466856727</v>
      </c>
      <c r="L14" s="15">
        <f t="shared" si="6"/>
        <v>17.029386365926403</v>
      </c>
      <c r="M14" s="2">
        <f t="shared" si="6"/>
        <v>17.691806012954132</v>
      </c>
      <c r="N14" s="2">
        <f t="shared" si="6"/>
        <v>18.384776310850235</v>
      </c>
      <c r="O14" s="2">
        <f t="shared" si="6"/>
        <v>19.104973174542799</v>
      </c>
      <c r="P14" s="2">
        <f t="shared" si="6"/>
        <v>19.849433241279208</v>
      </c>
      <c r="Q14" s="2">
        <f t="shared" si="6"/>
        <v>20.615528128088304</v>
      </c>
      <c r="R14" s="2">
        <f t="shared" si="6"/>
        <v>21.400934559032695</v>
      </c>
      <c r="S14" s="2">
        <f t="shared" si="6"/>
        <v>22.203603311174518</v>
      </c>
      <c r="T14" s="2">
        <f t="shared" si="6"/>
        <v>23.021728866442675</v>
      </c>
      <c r="U14" s="2">
        <f t="shared" si="6"/>
        <v>23.853720883753127</v>
      </c>
      <c r="V14" s="2">
        <f t="shared" si="7"/>
        <v>24.698178070456937</v>
      </c>
      <c r="W14" s="2">
        <f t="shared" si="7"/>
        <v>25.553864678361276</v>
      </c>
      <c r="X14" s="2">
        <f t="shared" si="7"/>
        <v>26.419689627245813</v>
      </c>
      <c r="Y14" s="2">
        <f t="shared" si="7"/>
        <v>27.294688127912362</v>
      </c>
      <c r="Z14" s="2">
        <f t="shared" si="7"/>
        <v>28.178005607210743</v>
      </c>
      <c r="AA14" s="2">
        <f t="shared" si="7"/>
        <v>29.068883707497267</v>
      </c>
      <c r="AB14" s="2">
        <f t="shared" si="7"/>
        <v>29.966648127543394</v>
      </c>
      <c r="AC14" s="2">
        <f t="shared" si="7"/>
        <v>30.870698080866262</v>
      </c>
      <c r="AD14" s="2">
        <f t="shared" si="7"/>
        <v>31.780497164141408</v>
      </c>
      <c r="AE14" s="2">
        <f t="shared" si="7"/>
        <v>32.695565448543633</v>
      </c>
      <c r="AF14" s="2">
        <f t="shared" si="8"/>
        <v>33.61547262794322</v>
      </c>
      <c r="AG14" s="2">
        <f t="shared" si="8"/>
        <v>34.539832078341085</v>
      </c>
      <c r="AH14" s="2">
        <f t="shared" si="8"/>
        <v>35.468295701936398</v>
      </c>
      <c r="AI14" s="2">
        <f t="shared" si="8"/>
        <v>36.400549446402593</v>
      </c>
      <c r="AJ14" s="2">
        <f t="shared" si="8"/>
        <v>37.336309405188942</v>
      </c>
      <c r="AK14" s="2">
        <f t="shared" si="8"/>
        <v>38.275318418009277</v>
      </c>
      <c r="AL14" s="2">
        <f t="shared" si="8"/>
        <v>39.217343102255157</v>
      </c>
      <c r="AM14" s="11">
        <f t="shared" si="8"/>
        <v>40.162171256046406</v>
      </c>
      <c r="AN14" s="2">
        <f t="shared" si="8"/>
        <v>41.109609582188931</v>
      </c>
      <c r="AO14" s="2">
        <f t="shared" si="8"/>
        <v>42.059481689626182</v>
      </c>
      <c r="AP14" s="2">
        <f t="shared" si="4"/>
        <v>43.011626335213137</v>
      </c>
      <c r="AQ14" s="2">
        <f t="shared" si="4"/>
        <v>43.965895873961216</v>
      </c>
      <c r="AR14" s="2">
        <f t="shared" si="4"/>
        <v>44.922154890432402</v>
      </c>
      <c r="AS14" s="2">
        <f t="shared" si="4"/>
        <v>45.880278987817846</v>
      </c>
      <c r="AT14" s="2">
        <f t="shared" si="4"/>
        <v>46.840153714521477</v>
      </c>
      <c r="AU14" s="2">
        <f t="shared" si="4"/>
        <v>47.801673610868477</v>
      </c>
      <c r="AV14" s="2">
        <f t="shared" si="4"/>
        <v>48.764741360946438</v>
      </c>
      <c r="AW14" s="9">
        <f t="shared" si="4"/>
        <v>49.729267036625423</v>
      </c>
      <c r="AX14" s="2">
        <f t="shared" si="4"/>
        <v>50.695167422546305</v>
      </c>
      <c r="AY14" s="2">
        <f t="shared" si="4"/>
        <v>51.662365412357957</v>
      </c>
    </row>
    <row r="15" spans="1:52" ht="15.75" thickBot="1" x14ac:dyDescent="0.3">
      <c r="A15" s="2">
        <v>14</v>
      </c>
      <c r="B15" s="2">
        <f t="shared" si="5"/>
        <v>14.035668847618199</v>
      </c>
      <c r="C15" s="2">
        <f t="shared" si="5"/>
        <v>14.142135623730951</v>
      </c>
      <c r="D15" s="2">
        <f t="shared" si="5"/>
        <v>14.317821063276353</v>
      </c>
      <c r="E15" s="2">
        <f t="shared" si="5"/>
        <v>14.560219778561036</v>
      </c>
      <c r="F15" s="2">
        <f t="shared" si="5"/>
        <v>14.866068747318506</v>
      </c>
      <c r="G15" s="2">
        <f t="shared" si="5"/>
        <v>15.231546211727817</v>
      </c>
      <c r="H15" s="2">
        <f t="shared" si="5"/>
        <v>15.652475842498529</v>
      </c>
      <c r="I15" s="2">
        <f t="shared" si="5"/>
        <v>16.124515496597098</v>
      </c>
      <c r="J15" s="2">
        <f t="shared" si="5"/>
        <v>16.643316977093239</v>
      </c>
      <c r="K15" s="15">
        <f t="shared" si="5"/>
        <v>17.204650534085253</v>
      </c>
      <c r="L15" s="15">
        <f t="shared" si="6"/>
        <v>17.804493814764857</v>
      </c>
      <c r="M15" s="2">
        <f t="shared" si="6"/>
        <v>18.439088914585774</v>
      </c>
      <c r="N15" s="2">
        <f t="shared" si="6"/>
        <v>19.104973174542799</v>
      </c>
      <c r="O15" s="2">
        <f t="shared" si="6"/>
        <v>19.798989873223331</v>
      </c>
      <c r="P15" s="2">
        <f t="shared" si="6"/>
        <v>20.518284528683193</v>
      </c>
      <c r="Q15" s="2">
        <f t="shared" si="6"/>
        <v>21.2602916254693</v>
      </c>
      <c r="R15" s="2">
        <f t="shared" si="6"/>
        <v>22.022715545545239</v>
      </c>
      <c r="S15" s="2">
        <f t="shared" si="6"/>
        <v>22.803508501982758</v>
      </c>
      <c r="T15" s="2">
        <f t="shared" si="6"/>
        <v>23.600847442411894</v>
      </c>
      <c r="U15" s="2">
        <f t="shared" si="6"/>
        <v>24.413111231467404</v>
      </c>
      <c r="V15" s="2">
        <f t="shared" si="7"/>
        <v>25.238858928247925</v>
      </c>
      <c r="W15" s="2">
        <f t="shared" si="7"/>
        <v>26.076809620810597</v>
      </c>
      <c r="X15" s="2">
        <f t="shared" si="7"/>
        <v>26.92582403567252</v>
      </c>
      <c r="Y15" s="2">
        <f t="shared" si="7"/>
        <v>27.784887978899608</v>
      </c>
      <c r="Z15" s="2">
        <f t="shared" si="7"/>
        <v>28.653097563788805</v>
      </c>
      <c r="AA15" s="2">
        <f t="shared" si="7"/>
        <v>29.529646120466801</v>
      </c>
      <c r="AB15" s="2">
        <f t="shared" si="7"/>
        <v>30.413812651491099</v>
      </c>
      <c r="AC15" s="2">
        <f t="shared" si="7"/>
        <v>31.304951684997057</v>
      </c>
      <c r="AD15" s="2">
        <f t="shared" si="7"/>
        <v>32.202484376209235</v>
      </c>
      <c r="AE15" s="2">
        <f t="shared" si="7"/>
        <v>33.105890714493697</v>
      </c>
      <c r="AF15" s="2">
        <f t="shared" si="8"/>
        <v>34.014702703389901</v>
      </c>
      <c r="AG15" s="2">
        <f t="shared" si="8"/>
        <v>34.928498393145958</v>
      </c>
      <c r="AH15" s="2">
        <f t="shared" si="8"/>
        <v>35.846896657869841</v>
      </c>
      <c r="AI15" s="2">
        <f t="shared" si="8"/>
        <v>36.76955262170047</v>
      </c>
      <c r="AJ15" s="2">
        <f t="shared" si="8"/>
        <v>37.696153649941529</v>
      </c>
      <c r="AK15" s="2">
        <f t="shared" si="8"/>
        <v>38.626415831655933</v>
      </c>
      <c r="AL15" s="8">
        <f t="shared" si="8"/>
        <v>39.560080889704963</v>
      </c>
      <c r="AM15" s="10">
        <f t="shared" si="8"/>
        <v>40.496913462633174</v>
      </c>
      <c r="AN15" s="2">
        <f t="shared" si="8"/>
        <v>41.43669871020132</v>
      </c>
      <c r="AO15" s="2">
        <f t="shared" si="8"/>
        <v>42.379240200834182</v>
      </c>
      <c r="AP15" s="2">
        <f t="shared" si="4"/>
        <v>43.324358044868937</v>
      </c>
      <c r="AQ15" s="2">
        <f t="shared" si="4"/>
        <v>44.271887242357309</v>
      </c>
      <c r="AR15" s="2">
        <f t="shared" si="4"/>
        <v>45.221676218380054</v>
      </c>
      <c r="AS15" s="2">
        <f t="shared" si="4"/>
        <v>46.173585522460783</v>
      </c>
      <c r="AT15" s="2">
        <f t="shared" si="4"/>
        <v>47.127486671792717</v>
      </c>
      <c r="AU15" s="2">
        <f t="shared" si="4"/>
        <v>48.083261120685229</v>
      </c>
      <c r="AV15" s="2">
        <f t="shared" si="4"/>
        <v>49.040799340956916</v>
      </c>
      <c r="AW15" s="11">
        <f t="shared" si="4"/>
        <v>50</v>
      </c>
      <c r="AX15" s="2">
        <f t="shared" si="4"/>
        <v>50.960769224963627</v>
      </c>
      <c r="AY15" s="2">
        <f t="shared" si="4"/>
        <v>51.923019942988681</v>
      </c>
    </row>
    <row r="16" spans="1:52" ht="15.75" thickBot="1" x14ac:dyDescent="0.3">
      <c r="A16" s="2">
        <v>15</v>
      </c>
      <c r="B16" s="2">
        <f t="shared" si="5"/>
        <v>15.033296378372908</v>
      </c>
      <c r="C16" s="2">
        <f t="shared" si="5"/>
        <v>15.132745950421556</v>
      </c>
      <c r="D16" s="2">
        <f t="shared" si="5"/>
        <v>15.297058540778355</v>
      </c>
      <c r="E16" s="2">
        <f t="shared" si="5"/>
        <v>15.524174696260024</v>
      </c>
      <c r="F16" s="2">
        <f t="shared" si="5"/>
        <v>15.811388300841896</v>
      </c>
      <c r="G16" s="2">
        <f t="shared" si="5"/>
        <v>16.15549442140351</v>
      </c>
      <c r="H16" s="2">
        <f t="shared" si="5"/>
        <v>16.552945357246848</v>
      </c>
      <c r="I16" s="2">
        <f t="shared" si="5"/>
        <v>17</v>
      </c>
      <c r="J16" s="2">
        <f t="shared" si="5"/>
        <v>17.4928556845359</v>
      </c>
      <c r="K16" s="15">
        <f t="shared" si="5"/>
        <v>18.027756377319946</v>
      </c>
      <c r="L16" s="15">
        <f t="shared" si="6"/>
        <v>18.601075237738275</v>
      </c>
      <c r="M16" s="2">
        <f t="shared" si="6"/>
        <v>19.209372712298546</v>
      </c>
      <c r="N16" s="2">
        <f t="shared" si="6"/>
        <v>19.849433241279208</v>
      </c>
      <c r="O16" s="2">
        <f t="shared" si="6"/>
        <v>20.518284528683193</v>
      </c>
      <c r="P16" s="2">
        <f t="shared" si="6"/>
        <v>21.213203435596427</v>
      </c>
      <c r="Q16" s="2">
        <f t="shared" si="6"/>
        <v>21.931712199461309</v>
      </c>
      <c r="R16" s="2">
        <f t="shared" si="6"/>
        <v>22.671568097509269</v>
      </c>
      <c r="S16" s="2">
        <f t="shared" si="6"/>
        <v>23.430749027719962</v>
      </c>
      <c r="T16" s="2">
        <f t="shared" si="6"/>
        <v>24.207436873820409</v>
      </c>
      <c r="U16" s="2">
        <f t="shared" si="6"/>
        <v>25</v>
      </c>
      <c r="V16" s="2">
        <f t="shared" si="7"/>
        <v>25.80697580112788</v>
      </c>
      <c r="W16" s="2">
        <f t="shared" si="7"/>
        <v>26.627053911388696</v>
      </c>
      <c r="X16" s="2">
        <f t="shared" si="7"/>
        <v>27.459060435491963</v>
      </c>
      <c r="Y16" s="2">
        <f t="shared" si="7"/>
        <v>28.301943396169811</v>
      </c>
      <c r="Z16" s="2">
        <f t="shared" si="7"/>
        <v>29.154759474226502</v>
      </c>
      <c r="AA16" s="2">
        <f t="shared" si="7"/>
        <v>30.016662039607269</v>
      </c>
      <c r="AB16" s="2">
        <f t="shared" si="7"/>
        <v>30.886890422961002</v>
      </c>
      <c r="AC16" s="2">
        <f t="shared" si="7"/>
        <v>31.76476034853718</v>
      </c>
      <c r="AD16" s="2">
        <f t="shared" si="7"/>
        <v>32.649655434629018</v>
      </c>
      <c r="AE16" s="2">
        <f t="shared" si="7"/>
        <v>33.541019662496844</v>
      </c>
      <c r="AF16" s="2">
        <f t="shared" si="8"/>
        <v>34.438350715445125</v>
      </c>
      <c r="AG16" s="2">
        <f t="shared" si="8"/>
        <v>35.341194094144583</v>
      </c>
      <c r="AH16" s="2">
        <f t="shared" si="8"/>
        <v>36.249137920783717</v>
      </c>
      <c r="AI16" s="2">
        <f t="shared" si="8"/>
        <v>37.161808352124091</v>
      </c>
      <c r="AJ16" s="2">
        <f t="shared" si="8"/>
        <v>38.078865529319543</v>
      </c>
      <c r="AK16" s="2">
        <f t="shared" si="8"/>
        <v>39</v>
      </c>
      <c r="AL16" s="11">
        <f t="shared" si="8"/>
        <v>39.924929555354261</v>
      </c>
      <c r="AM16" s="2">
        <f t="shared" si="8"/>
        <v>40.853396431630991</v>
      </c>
      <c r="AN16" s="2">
        <f t="shared" si="8"/>
        <v>41.785164831552358</v>
      </c>
      <c r="AO16" s="2">
        <f t="shared" si="8"/>
        <v>42.720018726587654</v>
      </c>
      <c r="AP16" s="2">
        <f t="shared" si="4"/>
        <v>43.657759905886145</v>
      </c>
      <c r="AQ16" s="2">
        <f t="shared" si="4"/>
        <v>44.598206241955516</v>
      </c>
      <c r="AR16" s="2">
        <f t="shared" si="4"/>
        <v>45.541190146942803</v>
      </c>
      <c r="AS16" s="2">
        <f t="shared" si="4"/>
        <v>46.486557196677836</v>
      </c>
      <c r="AT16" s="2">
        <f t="shared" si="4"/>
        <v>47.434164902525687</v>
      </c>
      <c r="AU16" s="2">
        <f t="shared" si="4"/>
        <v>48.383881613611777</v>
      </c>
      <c r="AV16" s="2">
        <f t="shared" si="4"/>
        <v>49.33558553417604</v>
      </c>
      <c r="AW16" s="10">
        <f t="shared" si="4"/>
        <v>50.289163842720633</v>
      </c>
      <c r="AX16" s="2">
        <f t="shared" si="4"/>
        <v>51.244511901275828</v>
      </c>
      <c r="AY16" s="2">
        <f t="shared" si="4"/>
        <v>52.201532544552748</v>
      </c>
    </row>
    <row r="17" spans="1:51" ht="15.75" thickBot="1" x14ac:dyDescent="0.3">
      <c r="A17" s="2">
        <v>16</v>
      </c>
      <c r="B17" s="2">
        <f t="shared" si="5"/>
        <v>16.031219541881399</v>
      </c>
      <c r="C17" s="2">
        <f t="shared" si="5"/>
        <v>16.124515496597098</v>
      </c>
      <c r="D17" s="2">
        <f t="shared" si="5"/>
        <v>16.278820596099706</v>
      </c>
      <c r="E17" s="2">
        <f t="shared" si="5"/>
        <v>16.492422502470642</v>
      </c>
      <c r="F17" s="2">
        <f t="shared" si="5"/>
        <v>16.763054614240211</v>
      </c>
      <c r="G17" s="2">
        <f t="shared" si="5"/>
        <v>17.088007490635061</v>
      </c>
      <c r="H17" s="2">
        <f t="shared" si="5"/>
        <v>17.464249196572979</v>
      </c>
      <c r="I17" s="2">
        <f t="shared" si="5"/>
        <v>17.888543819998318</v>
      </c>
      <c r="J17" s="2">
        <f t="shared" si="5"/>
        <v>18.357559750685819</v>
      </c>
      <c r="K17" s="15">
        <f t="shared" si="5"/>
        <v>18.867962264113206</v>
      </c>
      <c r="L17" s="15">
        <f t="shared" si="6"/>
        <v>19.416487838947599</v>
      </c>
      <c r="M17" s="2">
        <f t="shared" si="6"/>
        <v>20</v>
      </c>
      <c r="N17" s="2">
        <f t="shared" si="6"/>
        <v>20.615528128088304</v>
      </c>
      <c r="O17" s="2">
        <f t="shared" si="6"/>
        <v>21.2602916254693</v>
      </c>
      <c r="P17" s="2">
        <f t="shared" si="6"/>
        <v>21.931712199461309</v>
      </c>
      <c r="Q17" s="2">
        <f t="shared" si="6"/>
        <v>22.627416997969522</v>
      </c>
      <c r="R17" s="2">
        <f t="shared" si="6"/>
        <v>23.345235059857504</v>
      </c>
      <c r="S17" s="2">
        <f t="shared" si="6"/>
        <v>24.083189157584592</v>
      </c>
      <c r="T17" s="2">
        <f t="shared" si="6"/>
        <v>24.839484696748443</v>
      </c>
      <c r="U17" s="2">
        <f t="shared" si="6"/>
        <v>25.612496949731394</v>
      </c>
      <c r="V17" s="2">
        <f t="shared" si="7"/>
        <v>26.40075756488817</v>
      </c>
      <c r="W17" s="2">
        <f t="shared" si="7"/>
        <v>27.202941017470888</v>
      </c>
      <c r="X17" s="2">
        <f t="shared" si="7"/>
        <v>28.0178514522438</v>
      </c>
      <c r="Y17" s="2">
        <f t="shared" si="7"/>
        <v>28.844410203711913</v>
      </c>
      <c r="Z17" s="2">
        <f t="shared" si="7"/>
        <v>29.681644159311659</v>
      </c>
      <c r="AA17" s="2">
        <f t="shared" si="7"/>
        <v>30.528675044947494</v>
      </c>
      <c r="AB17" s="2">
        <f t="shared" si="7"/>
        <v>31.384709652950431</v>
      </c>
      <c r="AC17" s="2">
        <f t="shared" si="7"/>
        <v>32.249030993194197</v>
      </c>
      <c r="AD17" s="2">
        <f t="shared" si="7"/>
        <v>33.120990323358392</v>
      </c>
      <c r="AE17" s="2">
        <f t="shared" si="7"/>
        <v>34</v>
      </c>
      <c r="AF17" s="2">
        <f t="shared" si="8"/>
        <v>34.885527085024819</v>
      </c>
      <c r="AG17" s="2">
        <f t="shared" si="8"/>
        <v>35.777087639996637</v>
      </c>
      <c r="AH17" s="2">
        <f t="shared" si="8"/>
        <v>36.674241641784498</v>
      </c>
      <c r="AI17" s="2">
        <f t="shared" si="8"/>
        <v>37.576588456111871</v>
      </c>
      <c r="AJ17" s="2">
        <f t="shared" si="8"/>
        <v>38.483762809787713</v>
      </c>
      <c r="AK17" s="2">
        <f t="shared" si="8"/>
        <v>39.395431207184416</v>
      </c>
      <c r="AL17" s="10">
        <f t="shared" si="8"/>
        <v>40.311288741492746</v>
      </c>
      <c r="AM17" s="2">
        <f t="shared" si="8"/>
        <v>41.231056256176608</v>
      </c>
      <c r="AN17" s="2">
        <f t="shared" si="8"/>
        <v>42.154477816715982</v>
      </c>
      <c r="AO17" s="2">
        <f t="shared" si="8"/>
        <v>43.08131845707603</v>
      </c>
      <c r="AP17" s="2">
        <f t="shared" si="4"/>
        <v>44.011362169330773</v>
      </c>
      <c r="AQ17" s="2">
        <f t="shared" si="4"/>
        <v>44.944410108488462</v>
      </c>
      <c r="AR17" s="2">
        <f t="shared" si="4"/>
        <v>45.880278987817846</v>
      </c>
      <c r="AS17" s="2">
        <f t="shared" si="4"/>
        <v>46.818799642878503</v>
      </c>
      <c r="AT17" s="2">
        <f t="shared" si="4"/>
        <v>47.75981574503821</v>
      </c>
      <c r="AU17" s="2">
        <f t="shared" si="4"/>
        <v>48.703182647543684</v>
      </c>
      <c r="AV17" s="9">
        <f t="shared" si="4"/>
        <v>49.648766349225639</v>
      </c>
      <c r="AW17" s="2">
        <f t="shared" si="4"/>
        <v>50.596442562694072</v>
      </c>
      <c r="AX17" s="2">
        <f t="shared" si="4"/>
        <v>51.546095875439491</v>
      </c>
      <c r="AY17" s="2">
        <f t="shared" si="4"/>
        <v>52.497618993626752</v>
      </c>
    </row>
    <row r="18" spans="1:51" x14ac:dyDescent="0.25">
      <c r="A18" s="2">
        <v>17</v>
      </c>
      <c r="B18" s="2">
        <f t="shared" si="5"/>
        <v>17.029386365926403</v>
      </c>
      <c r="C18" s="2">
        <f t="shared" si="5"/>
        <v>17.11724276862369</v>
      </c>
      <c r="D18" s="2">
        <f t="shared" si="5"/>
        <v>17.262676501632068</v>
      </c>
      <c r="E18" s="2">
        <f t="shared" si="5"/>
        <v>17.464249196572979</v>
      </c>
      <c r="F18" s="2">
        <f t="shared" si="5"/>
        <v>17.720045146669349</v>
      </c>
      <c r="G18" s="2">
        <f t="shared" si="5"/>
        <v>18.027756377319946</v>
      </c>
      <c r="H18" s="2">
        <f t="shared" si="5"/>
        <v>18.384776310850235</v>
      </c>
      <c r="I18" s="2">
        <f t="shared" si="5"/>
        <v>18.788294228055936</v>
      </c>
      <c r="J18" s="2">
        <f t="shared" si="5"/>
        <v>19.235384061671343</v>
      </c>
      <c r="K18" s="15">
        <f t="shared" si="5"/>
        <v>19.723082923316021</v>
      </c>
      <c r="L18" s="15">
        <f t="shared" si="6"/>
        <v>20.248456731316587</v>
      </c>
      <c r="M18" s="2">
        <f t="shared" si="6"/>
        <v>20.808652046684813</v>
      </c>
      <c r="N18" s="2">
        <f t="shared" si="6"/>
        <v>21.400934559032695</v>
      </c>
      <c r="O18" s="2">
        <f t="shared" si="6"/>
        <v>22.022715545545239</v>
      </c>
      <c r="P18" s="2">
        <f t="shared" si="6"/>
        <v>22.671568097509269</v>
      </c>
      <c r="Q18" s="2">
        <f t="shared" si="6"/>
        <v>23.345235059857504</v>
      </c>
      <c r="R18" s="2">
        <f t="shared" si="6"/>
        <v>24.041630560342615</v>
      </c>
      <c r="S18" s="2">
        <f t="shared" si="6"/>
        <v>24.758836806279895</v>
      </c>
      <c r="T18" s="2">
        <f t="shared" si="6"/>
        <v>25.495097567963924</v>
      </c>
      <c r="U18" s="2">
        <f t="shared" si="6"/>
        <v>26.248809496813376</v>
      </c>
      <c r="V18" s="2">
        <f t="shared" si="7"/>
        <v>27.018512172212592</v>
      </c>
      <c r="W18" s="2">
        <f t="shared" si="7"/>
        <v>27.802877548915689</v>
      </c>
      <c r="X18" s="2">
        <f t="shared" si="7"/>
        <v>28.600699292150182</v>
      </c>
      <c r="Y18" s="2">
        <f t="shared" si="7"/>
        <v>29.410882339705484</v>
      </c>
      <c r="Z18" s="2">
        <f t="shared" si="7"/>
        <v>30.232432915661949</v>
      </c>
      <c r="AA18" s="2">
        <f t="shared" si="7"/>
        <v>31.064449134018133</v>
      </c>
      <c r="AB18" s="2">
        <f t="shared" si="7"/>
        <v>31.906112267087632</v>
      </c>
      <c r="AC18" s="2">
        <f t="shared" si="7"/>
        <v>32.756678708318397</v>
      </c>
      <c r="AD18" s="2">
        <f t="shared" si="7"/>
        <v>33.61547262794322</v>
      </c>
      <c r="AE18" s="2">
        <f t="shared" si="7"/>
        <v>34.481879299133332</v>
      </c>
      <c r="AF18" s="2">
        <f t="shared" si="8"/>
        <v>35.355339059327378</v>
      </c>
      <c r="AG18" s="2">
        <f t="shared" si="8"/>
        <v>36.235341863986875</v>
      </c>
      <c r="AH18" s="2">
        <f t="shared" si="8"/>
        <v>37.12142238654117</v>
      </c>
      <c r="AI18" s="2">
        <f t="shared" si="8"/>
        <v>38.013155617496423</v>
      </c>
      <c r="AJ18" s="2">
        <f t="shared" si="8"/>
        <v>38.910152916687437</v>
      </c>
      <c r="AK18" s="9">
        <f t="shared" si="8"/>
        <v>39.812058474788763</v>
      </c>
      <c r="AL18" s="2">
        <f t="shared" si="8"/>
        <v>40.718546143004666</v>
      </c>
      <c r="AM18" s="2">
        <f t="shared" si="8"/>
        <v>41.629316592997299</v>
      </c>
      <c r="AN18" s="2">
        <f t="shared" si="8"/>
        <v>42.544094772365298</v>
      </c>
      <c r="AO18" s="2">
        <f t="shared" si="8"/>
        <v>43.46262762420146</v>
      </c>
      <c r="AP18" s="2">
        <f t="shared" si="4"/>
        <v>44.384682042344295</v>
      </c>
      <c r="AQ18" s="2">
        <f t="shared" si="4"/>
        <v>45.310043036836767</v>
      </c>
      <c r="AR18" s="2">
        <f t="shared" si="4"/>
        <v>46.238512086787566</v>
      </c>
      <c r="AS18" s="2">
        <f t="shared" si="4"/>
        <v>47.169905660283021</v>
      </c>
      <c r="AT18" s="2">
        <f t="shared" si="4"/>
        <v>48.104053883222775</v>
      </c>
      <c r="AU18" s="2">
        <f t="shared" si="4"/>
        <v>49.040799340956916</v>
      </c>
      <c r="AV18" s="11">
        <f t="shared" si="4"/>
        <v>49.979995998399197</v>
      </c>
      <c r="AW18" s="2">
        <f t="shared" si="4"/>
        <v>50.921508225896062</v>
      </c>
      <c r="AX18" s="2">
        <f t="shared" si="4"/>
        <v>51.86520991955976</v>
      </c>
      <c r="AY18" s="2">
        <f t="shared" si="4"/>
        <v>52.810983706043572</v>
      </c>
    </row>
    <row r="19" spans="1:51" ht="15.75" thickBot="1" x14ac:dyDescent="0.3">
      <c r="A19" s="2">
        <v>18</v>
      </c>
      <c r="B19" s="2">
        <f t="shared" si="5"/>
        <v>18.027756377319946</v>
      </c>
      <c r="C19" s="2">
        <f t="shared" si="5"/>
        <v>18.110770276274835</v>
      </c>
      <c r="D19" s="2">
        <f t="shared" si="5"/>
        <v>18.248287590894659</v>
      </c>
      <c r="E19" s="2">
        <f t="shared" si="5"/>
        <v>18.439088914585774</v>
      </c>
      <c r="F19" s="2">
        <f t="shared" si="5"/>
        <v>18.681541692269406</v>
      </c>
      <c r="G19" s="2">
        <f t="shared" si="5"/>
        <v>18.973665961010276</v>
      </c>
      <c r="H19" s="2">
        <f t="shared" si="5"/>
        <v>19.313207915827967</v>
      </c>
      <c r="I19" s="2">
        <f t="shared" si="5"/>
        <v>19.697715603592208</v>
      </c>
      <c r="J19" s="2">
        <f t="shared" si="5"/>
        <v>20.124611797498108</v>
      </c>
      <c r="K19" s="15">
        <f t="shared" si="5"/>
        <v>20.591260281974002</v>
      </c>
      <c r="L19" s="15">
        <f t="shared" si="6"/>
        <v>21.095023109728988</v>
      </c>
      <c r="M19" s="2">
        <f t="shared" si="6"/>
        <v>21.633307652783937</v>
      </c>
      <c r="N19" s="2">
        <f t="shared" si="6"/>
        <v>22.203603311174518</v>
      </c>
      <c r="O19" s="2">
        <f t="shared" si="6"/>
        <v>22.803508501982758</v>
      </c>
      <c r="P19" s="2">
        <f t="shared" si="6"/>
        <v>23.430749027719962</v>
      </c>
      <c r="Q19" s="2">
        <f t="shared" si="6"/>
        <v>24.083189157584592</v>
      </c>
      <c r="R19" s="2">
        <f t="shared" si="6"/>
        <v>24.758836806279895</v>
      </c>
      <c r="S19" s="2">
        <f t="shared" si="6"/>
        <v>25.45584412271571</v>
      </c>
      <c r="T19" s="2">
        <f t="shared" si="6"/>
        <v>26.172504656604801</v>
      </c>
      <c r="U19" s="2">
        <f t="shared" si="6"/>
        <v>26.90724809414742</v>
      </c>
      <c r="V19" s="2">
        <f t="shared" si="7"/>
        <v>27.658633371878661</v>
      </c>
      <c r="W19" s="2">
        <f t="shared" si="7"/>
        <v>28.42534080710379</v>
      </c>
      <c r="X19" s="2">
        <f t="shared" si="7"/>
        <v>29.206163733020468</v>
      </c>
      <c r="Y19" s="2">
        <f t="shared" si="7"/>
        <v>30</v>
      </c>
      <c r="Z19" s="2">
        <f t="shared" si="7"/>
        <v>30.805843601498726</v>
      </c>
      <c r="AA19" s="2">
        <f t="shared" si="7"/>
        <v>31.622776601683793</v>
      </c>
      <c r="AB19" s="2">
        <f t="shared" si="7"/>
        <v>32.449961479175904</v>
      </c>
      <c r="AC19" s="2">
        <f t="shared" si="7"/>
        <v>33.286633954186478</v>
      </c>
      <c r="AD19" s="2">
        <f t="shared" si="7"/>
        <v>34.132096331752024</v>
      </c>
      <c r="AE19" s="2">
        <f t="shared" si="7"/>
        <v>34.985711369071801</v>
      </c>
      <c r="AF19" s="2">
        <f t="shared" si="8"/>
        <v>35.846896657869841</v>
      </c>
      <c r="AG19" s="2">
        <f t="shared" si="8"/>
        <v>36.715119501371639</v>
      </c>
      <c r="AH19" s="2">
        <f t="shared" si="8"/>
        <v>37.589892258425003</v>
      </c>
      <c r="AI19" s="2">
        <f t="shared" si="8"/>
        <v>38.470768123342687</v>
      </c>
      <c r="AJ19" s="2">
        <f t="shared" si="8"/>
        <v>39.357337308308857</v>
      </c>
      <c r="AK19" s="10">
        <f t="shared" si="8"/>
        <v>40.249223594996216</v>
      </c>
      <c r="AL19" s="2">
        <f t="shared" si="8"/>
        <v>41.146081222881968</v>
      </c>
      <c r="AM19" s="2">
        <f t="shared" si="8"/>
        <v>42.047592083257278</v>
      </c>
      <c r="AN19" s="2">
        <f t="shared" si="8"/>
        <v>42.953463189829058</v>
      </c>
      <c r="AO19" s="2">
        <f t="shared" si="8"/>
        <v>43.863424398922618</v>
      </c>
      <c r="AP19" s="2">
        <f t="shared" si="4"/>
        <v>44.77722635447622</v>
      </c>
      <c r="AQ19" s="2">
        <f t="shared" si="4"/>
        <v>45.694638635183452</v>
      </c>
      <c r="AR19" s="2">
        <f t="shared" si="4"/>
        <v>46.61544808322666</v>
      </c>
      <c r="AS19" s="2">
        <f t="shared" si="4"/>
        <v>47.539457296018853</v>
      </c>
      <c r="AT19" s="2">
        <f t="shared" si="4"/>
        <v>48.466483264210538</v>
      </c>
      <c r="AU19" s="2">
        <f t="shared" si="4"/>
        <v>49.396356140913873</v>
      </c>
      <c r="AV19" s="10">
        <f t="shared" si="4"/>
        <v>50.328918128646478</v>
      </c>
      <c r="AW19" s="2">
        <f t="shared" si="4"/>
        <v>51.264022471905186</v>
      </c>
      <c r="AX19" s="2">
        <f t="shared" si="4"/>
        <v>52.201532544552748</v>
      </c>
      <c r="AY19" s="2">
        <f t="shared" si="4"/>
        <v>53.141321022345693</v>
      </c>
    </row>
    <row r="20" spans="1:51" x14ac:dyDescent="0.25">
      <c r="A20" s="2">
        <v>19</v>
      </c>
      <c r="B20" s="2">
        <f t="shared" si="5"/>
        <v>19.026297590440446</v>
      </c>
      <c r="C20" s="2">
        <f t="shared" si="5"/>
        <v>19.104973174542799</v>
      </c>
      <c r="D20" s="2">
        <f t="shared" si="5"/>
        <v>19.235384061671343</v>
      </c>
      <c r="E20" s="2">
        <f t="shared" si="5"/>
        <v>19.416487838947599</v>
      </c>
      <c r="F20" s="2">
        <f t="shared" si="5"/>
        <v>19.646882704388499</v>
      </c>
      <c r="G20" s="2">
        <f t="shared" si="5"/>
        <v>19.924858845171276</v>
      </c>
      <c r="H20" s="2">
        <f t="shared" si="5"/>
        <v>20.248456731316587</v>
      </c>
      <c r="I20" s="2">
        <f t="shared" si="5"/>
        <v>20.615528128088304</v>
      </c>
      <c r="J20" s="2">
        <f t="shared" si="5"/>
        <v>21.023796041628639</v>
      </c>
      <c r="K20" s="15">
        <f t="shared" si="5"/>
        <v>21.470910553583888</v>
      </c>
      <c r="L20" s="15">
        <f t="shared" si="6"/>
        <v>21.95449840010015</v>
      </c>
      <c r="M20" s="2">
        <f t="shared" si="6"/>
        <v>22.472205054244231</v>
      </c>
      <c r="N20" s="2">
        <f t="shared" si="6"/>
        <v>23.021728866442675</v>
      </c>
      <c r="O20" s="2">
        <f t="shared" si="6"/>
        <v>23.600847442411894</v>
      </c>
      <c r="P20" s="2">
        <f t="shared" si="6"/>
        <v>24.207436873820409</v>
      </c>
      <c r="Q20" s="2">
        <f t="shared" si="6"/>
        <v>24.839484696748443</v>
      </c>
      <c r="R20" s="2">
        <f t="shared" si="6"/>
        <v>25.495097567963924</v>
      </c>
      <c r="S20" s="2">
        <f t="shared" si="6"/>
        <v>26.172504656604801</v>
      </c>
      <c r="T20" s="2">
        <f t="shared" si="6"/>
        <v>26.870057685088806</v>
      </c>
      <c r="U20" s="2">
        <f t="shared" si="6"/>
        <v>27.586228448267445</v>
      </c>
      <c r="V20" s="2">
        <f t="shared" si="7"/>
        <v>28.319604517012593</v>
      </c>
      <c r="W20" s="2">
        <f t="shared" si="7"/>
        <v>29.068883707497267</v>
      </c>
      <c r="X20" s="2">
        <f t="shared" si="7"/>
        <v>29.832867780352597</v>
      </c>
      <c r="Y20" s="2">
        <f t="shared" si="7"/>
        <v>30.610455730027933</v>
      </c>
      <c r="Z20" s="2">
        <f t="shared" si="7"/>
        <v>31.400636936215164</v>
      </c>
      <c r="AA20" s="2">
        <f t="shared" si="7"/>
        <v>32.202484376209235</v>
      </c>
      <c r="AB20" s="2">
        <f t="shared" si="7"/>
        <v>33.015148038438355</v>
      </c>
      <c r="AC20" s="2">
        <f t="shared" si="7"/>
        <v>33.837848631377263</v>
      </c>
      <c r="AD20" s="2">
        <f t="shared" si="7"/>
        <v>34.669871646719429</v>
      </c>
      <c r="AE20" s="2">
        <f t="shared" si="7"/>
        <v>35.510561809129406</v>
      </c>
      <c r="AF20" s="2">
        <f t="shared" si="8"/>
        <v>36.359317925395686</v>
      </c>
      <c r="AG20" s="2">
        <f t="shared" si="8"/>
        <v>37.215588131856791</v>
      </c>
      <c r="AH20" s="2">
        <f t="shared" si="8"/>
        <v>38.078865529319543</v>
      </c>
      <c r="AI20" s="2">
        <f t="shared" si="8"/>
        <v>38.948684188300895</v>
      </c>
      <c r="AJ20" s="9">
        <f t="shared" si="8"/>
        <v>39.824615503479755</v>
      </c>
      <c r="AK20" s="2">
        <f t="shared" si="8"/>
        <v>40.70626487409524</v>
      </c>
      <c r="AL20" s="2">
        <f t="shared" si="8"/>
        <v>41.593268686170845</v>
      </c>
      <c r="AM20" s="2">
        <f t="shared" si="8"/>
        <v>42.485291572496003</v>
      </c>
      <c r="AN20" s="2">
        <f t="shared" si="8"/>
        <v>43.382023926967726</v>
      </c>
      <c r="AO20" s="2">
        <f t="shared" si="8"/>
        <v>44.283179650969061</v>
      </c>
      <c r="AP20" s="2">
        <f t="shared" si="4"/>
        <v>45.188494110780013</v>
      </c>
      <c r="AQ20" s="2">
        <f t="shared" si="4"/>
        <v>46.097722286464439</v>
      </c>
      <c r="AR20" s="2">
        <f t="shared" si="4"/>
        <v>47.010637094172637</v>
      </c>
      <c r="AS20" s="2">
        <f t="shared" si="4"/>
        <v>47.927027865287037</v>
      </c>
      <c r="AT20" s="2">
        <f t="shared" si="4"/>
        <v>48.846698967279252</v>
      </c>
      <c r="AU20" s="9">
        <f t="shared" si="4"/>
        <v>49.769468552517218</v>
      </c>
      <c r="AV20" s="2">
        <f t="shared" si="4"/>
        <v>50.695167422546305</v>
      </c>
      <c r="AW20" s="2">
        <f t="shared" si="4"/>
        <v>51.623637996561229</v>
      </c>
      <c r="AX20" s="2">
        <f t="shared" si="4"/>
        <v>52.55473337388365</v>
      </c>
      <c r="AY20" s="2">
        <f t="shared" si="4"/>
        <v>53.488316481265329</v>
      </c>
    </row>
    <row r="21" spans="1:51" ht="15.75" thickBot="1" x14ac:dyDescent="0.3">
      <c r="A21" s="2">
        <v>20</v>
      </c>
      <c r="B21" s="2">
        <f t="shared" si="5"/>
        <v>20.024984394500787</v>
      </c>
      <c r="C21" s="2">
        <f t="shared" si="5"/>
        <v>20.09975124224178</v>
      </c>
      <c r="D21" s="2">
        <f t="shared" si="5"/>
        <v>20.223748416156685</v>
      </c>
      <c r="E21" s="2">
        <f t="shared" si="5"/>
        <v>20.396078054371138</v>
      </c>
      <c r="F21" s="2">
        <f t="shared" si="5"/>
        <v>20.615528128088304</v>
      </c>
      <c r="G21" s="2">
        <f t="shared" si="5"/>
        <v>20.880613017821101</v>
      </c>
      <c r="H21" s="2">
        <f t="shared" si="5"/>
        <v>21.189620100417091</v>
      </c>
      <c r="I21" s="2">
        <f t="shared" si="5"/>
        <v>21.540659228538015</v>
      </c>
      <c r="J21" s="2">
        <f t="shared" si="5"/>
        <v>21.931712199461309</v>
      </c>
      <c r="K21" s="15">
        <f t="shared" si="5"/>
        <v>22.360679774997898</v>
      </c>
      <c r="L21" s="15">
        <f t="shared" si="6"/>
        <v>22.825424421026653</v>
      </c>
      <c r="M21" s="2">
        <f t="shared" si="6"/>
        <v>23.323807579381203</v>
      </c>
      <c r="N21" s="2">
        <f t="shared" si="6"/>
        <v>23.853720883753127</v>
      </c>
      <c r="O21" s="2">
        <f t="shared" si="6"/>
        <v>24.413111231467404</v>
      </c>
      <c r="P21" s="2">
        <f t="shared" si="6"/>
        <v>25</v>
      </c>
      <c r="Q21" s="2">
        <f t="shared" si="6"/>
        <v>25.612496949731394</v>
      </c>
      <c r="R21" s="2">
        <f t="shared" si="6"/>
        <v>26.248809496813376</v>
      </c>
      <c r="S21" s="2">
        <f t="shared" si="6"/>
        <v>26.90724809414742</v>
      </c>
      <c r="T21" s="2">
        <f t="shared" si="6"/>
        <v>27.586228448267445</v>
      </c>
      <c r="U21" s="2">
        <f t="shared" si="6"/>
        <v>28.284271247461902</v>
      </c>
      <c r="V21" s="2">
        <f t="shared" si="7"/>
        <v>29</v>
      </c>
      <c r="W21" s="2">
        <f t="shared" si="7"/>
        <v>29.732137494637012</v>
      </c>
      <c r="X21" s="2">
        <f t="shared" si="7"/>
        <v>30.479501308256342</v>
      </c>
      <c r="Y21" s="2">
        <f t="shared" si="7"/>
        <v>31.240998703626616</v>
      </c>
      <c r="Z21" s="2">
        <f t="shared" si="7"/>
        <v>32.015621187164243</v>
      </c>
      <c r="AA21" s="2">
        <f t="shared" si="7"/>
        <v>32.802438933713454</v>
      </c>
      <c r="AB21" s="2">
        <f t="shared" si="7"/>
        <v>33.600595232822883</v>
      </c>
      <c r="AC21" s="2">
        <f t="shared" si="7"/>
        <v>34.409301068170507</v>
      </c>
      <c r="AD21" s="2">
        <f t="shared" si="7"/>
        <v>35.227829907617071</v>
      </c>
      <c r="AE21" s="2">
        <f t="shared" si="7"/>
        <v>36.055512754639892</v>
      </c>
      <c r="AF21" s="2">
        <f t="shared" si="8"/>
        <v>36.891733491393431</v>
      </c>
      <c r="AG21" s="2">
        <f t="shared" si="8"/>
        <v>37.735924528226413</v>
      </c>
      <c r="AH21" s="2">
        <f t="shared" si="8"/>
        <v>38.587562763149478</v>
      </c>
      <c r="AI21" s="2">
        <f t="shared" si="8"/>
        <v>39.446165846632042</v>
      </c>
      <c r="AJ21" s="10">
        <f t="shared" si="8"/>
        <v>40.311288741492746</v>
      </c>
      <c r="AK21" s="2">
        <f t="shared" si="8"/>
        <v>41.182520563948003</v>
      </c>
      <c r="AL21" s="2">
        <f t="shared" si="8"/>
        <v>42.059481689626182</v>
      </c>
      <c r="AM21" s="2">
        <f t="shared" si="8"/>
        <v>42.941821107167776</v>
      </c>
      <c r="AN21" s="2">
        <f t="shared" si="8"/>
        <v>43.829214001622255</v>
      </c>
      <c r="AO21" s="2">
        <f t="shared" si="8"/>
        <v>44.721359549995796</v>
      </c>
      <c r="AP21" s="2">
        <f t="shared" si="4"/>
        <v>45.617978911828175</v>
      </c>
      <c r="AQ21" s="2">
        <f t="shared" si="4"/>
        <v>46.518813398452032</v>
      </c>
      <c r="AR21" s="2">
        <f t="shared" si="4"/>
        <v>47.423622805517503</v>
      </c>
      <c r="AS21" s="2">
        <f t="shared" si="4"/>
        <v>48.332183894378289</v>
      </c>
      <c r="AT21" s="2">
        <f t="shared" si="4"/>
        <v>49.244289008980523</v>
      </c>
      <c r="AU21" s="10">
        <f t="shared" si="4"/>
        <v>50.159744815937813</v>
      </c>
      <c r="AV21" s="2">
        <f t="shared" si="4"/>
        <v>51.078371156488537</v>
      </c>
      <c r="AW21" s="2">
        <f t="shared" si="4"/>
        <v>52</v>
      </c>
      <c r="AX21" s="2">
        <f t="shared" si="4"/>
        <v>52.924474489596967</v>
      </c>
      <c r="AY21" s="2">
        <f t="shared" si="4"/>
        <v>53.851648071345039</v>
      </c>
    </row>
    <row r="22" spans="1:51" ht="15.75" thickBot="1" x14ac:dyDescent="0.3">
      <c r="A22" s="2">
        <v>21</v>
      </c>
      <c r="B22" s="2">
        <f t="shared" ref="B22:K31" si="9">SQRT($A22^2+B$1^2)</f>
        <v>21.023796041628639</v>
      </c>
      <c r="C22" s="2">
        <f t="shared" si="9"/>
        <v>21.095023109728988</v>
      </c>
      <c r="D22" s="2">
        <f t="shared" si="9"/>
        <v>21.213203435596427</v>
      </c>
      <c r="E22" s="2">
        <f t="shared" si="9"/>
        <v>21.377558326431949</v>
      </c>
      <c r="F22" s="2">
        <f t="shared" si="9"/>
        <v>21.587033144922902</v>
      </c>
      <c r="G22" s="2">
        <f t="shared" si="9"/>
        <v>21.840329667841555</v>
      </c>
      <c r="H22" s="2">
        <f t="shared" si="9"/>
        <v>22.135943621178654</v>
      </c>
      <c r="I22" s="2">
        <f t="shared" si="9"/>
        <v>22.472205054244231</v>
      </c>
      <c r="J22" s="2">
        <f t="shared" si="9"/>
        <v>22.847319317591726</v>
      </c>
      <c r="K22" s="15">
        <f t="shared" si="9"/>
        <v>23.259406699226016</v>
      </c>
      <c r="L22" s="15">
        <f t="shared" ref="L22:U31" si="10">SQRT($A22^2+L$1^2)</f>
        <v>23.706539182259394</v>
      </c>
      <c r="M22" s="2">
        <f t="shared" si="10"/>
        <v>24.186773244895647</v>
      </c>
      <c r="N22" s="2">
        <f t="shared" si="10"/>
        <v>24.698178070456937</v>
      </c>
      <c r="O22" s="2">
        <f t="shared" si="10"/>
        <v>25.238858928247925</v>
      </c>
      <c r="P22" s="2">
        <f t="shared" si="10"/>
        <v>25.80697580112788</v>
      </c>
      <c r="Q22" s="2">
        <f t="shared" si="10"/>
        <v>26.40075756488817</v>
      </c>
      <c r="R22" s="2">
        <f t="shared" si="10"/>
        <v>27.018512172212592</v>
      </c>
      <c r="S22" s="2">
        <f t="shared" si="10"/>
        <v>27.658633371878661</v>
      </c>
      <c r="T22" s="2">
        <f t="shared" si="10"/>
        <v>28.319604517012593</v>
      </c>
      <c r="U22" s="2">
        <f t="shared" si="10"/>
        <v>29</v>
      </c>
      <c r="V22" s="2">
        <f t="shared" ref="V22:AE31" si="11">SQRT($A22^2+V$1^2)</f>
        <v>29.698484809834994</v>
      </c>
      <c r="W22" s="2">
        <f t="shared" si="11"/>
        <v>30.413812651491099</v>
      </c>
      <c r="X22" s="2">
        <f t="shared" si="11"/>
        <v>31.144823004794873</v>
      </c>
      <c r="Y22" s="2">
        <f t="shared" si="11"/>
        <v>31.89043743820395</v>
      </c>
      <c r="Z22" s="2">
        <f t="shared" si="11"/>
        <v>32.649655434629018</v>
      </c>
      <c r="AA22" s="2">
        <f t="shared" si="11"/>
        <v>33.421549934136806</v>
      </c>
      <c r="AB22" s="2">
        <f t="shared" si="11"/>
        <v>34.205262752974143</v>
      </c>
      <c r="AC22" s="2">
        <f t="shared" si="11"/>
        <v>35</v>
      </c>
      <c r="AD22" s="2">
        <f t="shared" si="11"/>
        <v>35.805027579936315</v>
      </c>
      <c r="AE22" s="2">
        <f t="shared" si="11"/>
        <v>36.61966684720111</v>
      </c>
      <c r="AF22" s="2">
        <f t="shared" ref="AF22:AO31" si="12">SQRT($A22^2+AF$1^2)</f>
        <v>37.443290453698111</v>
      </c>
      <c r="AG22" s="2">
        <f t="shared" si="12"/>
        <v>38.275318418009277</v>
      </c>
      <c r="AH22" s="2">
        <f t="shared" si="12"/>
        <v>39.11521443121589</v>
      </c>
      <c r="AI22" s="9">
        <f t="shared" si="12"/>
        <v>39.962482405376171</v>
      </c>
      <c r="AJ22" s="2">
        <f t="shared" si="12"/>
        <v>40.8166632639171</v>
      </c>
      <c r="AK22" s="2">
        <f t="shared" si="12"/>
        <v>41.677331968349414</v>
      </c>
      <c r="AL22" s="2">
        <f t="shared" si="12"/>
        <v>42.544094772365298</v>
      </c>
      <c r="AM22" s="2">
        <f t="shared" si="12"/>
        <v>43.416586692184822</v>
      </c>
      <c r="AN22" s="2">
        <f t="shared" si="12"/>
        <v>44.294469180700204</v>
      </c>
      <c r="AO22" s="2">
        <f t="shared" si="12"/>
        <v>45.177427992306072</v>
      </c>
      <c r="AP22" s="2">
        <f t="shared" si="4"/>
        <v>46.065171225124082</v>
      </c>
      <c r="AQ22" s="2">
        <f t="shared" si="4"/>
        <v>46.957427527495582</v>
      </c>
      <c r="AR22" s="2">
        <f t="shared" si="4"/>
        <v>47.853944456021594</v>
      </c>
      <c r="AS22" s="2">
        <f t="shared" si="4"/>
        <v>48.754486972995622</v>
      </c>
      <c r="AT22" s="9">
        <f t="shared" si="4"/>
        <v>49.658836071740545</v>
      </c>
      <c r="AU22" s="2">
        <f t="shared" si="4"/>
        <v>50.566787519082126</v>
      </c>
      <c r="AV22" s="2">
        <f t="shared" si="4"/>
        <v>51.478150704935004</v>
      </c>
      <c r="AW22" s="2">
        <f t="shared" si="4"/>
        <v>52.392747589718944</v>
      </c>
      <c r="AX22" s="2">
        <f t="shared" si="4"/>
        <v>53.310411741047361</v>
      </c>
      <c r="AY22" s="2">
        <f t="shared" si="4"/>
        <v>54.230987451824994</v>
      </c>
    </row>
    <row r="23" spans="1:51" ht="15.75" thickBot="1" x14ac:dyDescent="0.3">
      <c r="A23" s="2">
        <v>22</v>
      </c>
      <c r="B23" s="2">
        <f t="shared" si="9"/>
        <v>22.022715545545239</v>
      </c>
      <c r="C23" s="2">
        <f t="shared" si="9"/>
        <v>22.090722034374522</v>
      </c>
      <c r="D23" s="2">
        <f t="shared" si="9"/>
        <v>22.203603311174518</v>
      </c>
      <c r="E23" s="2">
        <f t="shared" si="9"/>
        <v>22.360679774997898</v>
      </c>
      <c r="F23" s="2">
        <f t="shared" si="9"/>
        <v>22.561028345356956</v>
      </c>
      <c r="G23" s="2">
        <f t="shared" si="9"/>
        <v>22.803508501982758</v>
      </c>
      <c r="H23" s="2">
        <f t="shared" si="9"/>
        <v>23.086792761230392</v>
      </c>
      <c r="I23" s="2">
        <f t="shared" si="9"/>
        <v>23.409399821439251</v>
      </c>
      <c r="J23" s="2">
        <f t="shared" si="9"/>
        <v>23.769728648009426</v>
      </c>
      <c r="K23" s="15">
        <f t="shared" si="9"/>
        <v>24.166091947189145</v>
      </c>
      <c r="L23" s="15">
        <f t="shared" si="10"/>
        <v>24.596747752497688</v>
      </c>
      <c r="M23" s="2">
        <f t="shared" si="10"/>
        <v>25.059928172283335</v>
      </c>
      <c r="N23" s="2">
        <f t="shared" si="10"/>
        <v>25.553864678361276</v>
      </c>
      <c r="O23" s="2">
        <f t="shared" si="10"/>
        <v>26.076809620810597</v>
      </c>
      <c r="P23" s="2">
        <f t="shared" si="10"/>
        <v>26.627053911388696</v>
      </c>
      <c r="Q23" s="2">
        <f t="shared" si="10"/>
        <v>27.202941017470888</v>
      </c>
      <c r="R23" s="2">
        <f t="shared" si="10"/>
        <v>27.802877548915689</v>
      </c>
      <c r="S23" s="2">
        <f t="shared" si="10"/>
        <v>28.42534080710379</v>
      </c>
      <c r="T23" s="2">
        <f t="shared" si="10"/>
        <v>29.068883707497267</v>
      </c>
      <c r="U23" s="2">
        <f t="shared" si="10"/>
        <v>29.732137494637012</v>
      </c>
      <c r="V23" s="2">
        <f t="shared" si="11"/>
        <v>30.413812651491099</v>
      </c>
      <c r="W23" s="2">
        <f t="shared" si="11"/>
        <v>31.11269837220809</v>
      </c>
      <c r="X23" s="2">
        <f t="shared" si="11"/>
        <v>31.827660925679098</v>
      </c>
      <c r="Y23" s="2">
        <f t="shared" si="11"/>
        <v>32.557641192199412</v>
      </c>
      <c r="Z23" s="2">
        <f t="shared" si="11"/>
        <v>33.301651610693426</v>
      </c>
      <c r="AA23" s="2">
        <f t="shared" si="11"/>
        <v>34.058772731852805</v>
      </c>
      <c r="AB23" s="2">
        <f t="shared" si="11"/>
        <v>34.828149534535996</v>
      </c>
      <c r="AC23" s="2">
        <f t="shared" si="11"/>
        <v>35.608987629529715</v>
      </c>
      <c r="AD23" s="2">
        <f t="shared" si="11"/>
        <v>36.400549446402593</v>
      </c>
      <c r="AE23" s="2">
        <f t="shared" si="11"/>
        <v>37.20215047547655</v>
      </c>
      <c r="AF23" s="2">
        <f t="shared" si="12"/>
        <v>38.013155617496423</v>
      </c>
      <c r="AG23" s="2">
        <f t="shared" si="12"/>
        <v>38.832975677895199</v>
      </c>
      <c r="AH23" s="8">
        <f t="shared" si="12"/>
        <v>39.66106403010388</v>
      </c>
      <c r="AI23" s="10">
        <f t="shared" si="12"/>
        <v>40.496913462633174</v>
      </c>
      <c r="AJ23" s="2">
        <f t="shared" si="12"/>
        <v>41.340053217188775</v>
      </c>
      <c r="AK23" s="2">
        <f t="shared" si="12"/>
        <v>42.190046219457976</v>
      </c>
      <c r="AL23" s="2">
        <f t="shared" si="12"/>
        <v>43.046486500061768</v>
      </c>
      <c r="AM23" s="2">
        <f t="shared" si="12"/>
        <v>43.908996800200299</v>
      </c>
      <c r="AN23" s="2">
        <f t="shared" si="12"/>
        <v>44.77722635447622</v>
      </c>
      <c r="AO23" s="2">
        <f t="shared" si="12"/>
        <v>45.650848842053307</v>
      </c>
      <c r="AP23" s="2">
        <f t="shared" si="4"/>
        <v>46.529560496527367</v>
      </c>
      <c r="AQ23" s="2">
        <f t="shared" si="4"/>
        <v>47.413078364518789</v>
      </c>
      <c r="AR23" s="2">
        <f t="shared" si="4"/>
        <v>48.301138702933287</v>
      </c>
      <c r="AS23" s="2">
        <f t="shared" si="4"/>
        <v>49.193495504995376</v>
      </c>
      <c r="AT23" s="10">
        <f t="shared" si="4"/>
        <v>50.089919145472777</v>
      </c>
      <c r="AU23" s="2">
        <f t="shared" si="4"/>
        <v>50.990195135927848</v>
      </c>
      <c r="AV23" s="2">
        <f t="shared" si="4"/>
        <v>51.894122981316485</v>
      </c>
      <c r="AW23" s="2">
        <f t="shared" si="4"/>
        <v>52.801515129776341</v>
      </c>
      <c r="AX23" s="2">
        <f t="shared" si="4"/>
        <v>53.712196007983138</v>
      </c>
      <c r="AY23" s="2">
        <f t="shared" si="4"/>
        <v>54.626001134990652</v>
      </c>
    </row>
    <row r="24" spans="1:51" ht="15.75" thickBot="1" x14ac:dyDescent="0.3">
      <c r="A24" s="2">
        <v>23</v>
      </c>
      <c r="B24" s="2">
        <f t="shared" si="9"/>
        <v>23.021728866442675</v>
      </c>
      <c r="C24" s="2">
        <f t="shared" si="9"/>
        <v>23.086792761230392</v>
      </c>
      <c r="D24" s="2">
        <f t="shared" si="9"/>
        <v>23.194827009486403</v>
      </c>
      <c r="E24" s="2">
        <f t="shared" si="9"/>
        <v>23.345235059857504</v>
      </c>
      <c r="F24" s="2">
        <f t="shared" si="9"/>
        <v>23.53720459187964</v>
      </c>
      <c r="G24" s="2">
        <f t="shared" si="9"/>
        <v>23.769728648009426</v>
      </c>
      <c r="H24" s="2">
        <f t="shared" si="9"/>
        <v>24.041630560342615</v>
      </c>
      <c r="I24" s="2">
        <f t="shared" si="9"/>
        <v>24.351591323771842</v>
      </c>
      <c r="J24" s="2">
        <f t="shared" si="9"/>
        <v>24.698178070456937</v>
      </c>
      <c r="K24" s="15">
        <f t="shared" si="9"/>
        <v>25.079872407968907</v>
      </c>
      <c r="L24" s="15">
        <f t="shared" si="10"/>
        <v>25.495097567963924</v>
      </c>
      <c r="M24" s="2">
        <f t="shared" si="10"/>
        <v>25.942243542145693</v>
      </c>
      <c r="N24" s="2">
        <f t="shared" si="10"/>
        <v>26.419689627245813</v>
      </c>
      <c r="O24" s="2">
        <f t="shared" si="10"/>
        <v>26.92582403567252</v>
      </c>
      <c r="P24" s="2">
        <f t="shared" si="10"/>
        <v>27.459060435491963</v>
      </c>
      <c r="Q24" s="2">
        <f t="shared" si="10"/>
        <v>28.0178514522438</v>
      </c>
      <c r="R24" s="2">
        <f t="shared" si="10"/>
        <v>28.600699292150182</v>
      </c>
      <c r="S24" s="2">
        <f t="shared" si="10"/>
        <v>29.206163733020468</v>
      </c>
      <c r="T24" s="2">
        <f t="shared" si="10"/>
        <v>29.832867780352597</v>
      </c>
      <c r="U24" s="2">
        <f t="shared" si="10"/>
        <v>30.479501308256342</v>
      </c>
      <c r="V24" s="2">
        <f t="shared" si="11"/>
        <v>31.144823004794873</v>
      </c>
      <c r="W24" s="2">
        <f t="shared" si="11"/>
        <v>31.827660925679098</v>
      </c>
      <c r="X24" s="2">
        <f t="shared" si="11"/>
        <v>32.526911934581186</v>
      </c>
      <c r="Y24" s="2">
        <f t="shared" si="11"/>
        <v>33.241540277189323</v>
      </c>
      <c r="Z24" s="2">
        <f t="shared" si="11"/>
        <v>33.97057550292606</v>
      </c>
      <c r="AA24" s="2">
        <f t="shared" si="11"/>
        <v>34.713109915419565</v>
      </c>
      <c r="AB24" s="2">
        <f t="shared" si="11"/>
        <v>35.468295701936398</v>
      </c>
      <c r="AC24" s="2">
        <f t="shared" si="11"/>
        <v>36.235341863986875</v>
      </c>
      <c r="AD24" s="2">
        <f t="shared" si="11"/>
        <v>37.013511046643494</v>
      </c>
      <c r="AE24" s="2">
        <f t="shared" si="11"/>
        <v>37.802116342871599</v>
      </c>
      <c r="AF24" s="2">
        <f t="shared" si="12"/>
        <v>38.600518131237564</v>
      </c>
      <c r="AG24" s="2">
        <f t="shared" si="12"/>
        <v>39.408120990476064</v>
      </c>
      <c r="AH24" s="10">
        <f t="shared" si="12"/>
        <v>40.224370722237531</v>
      </c>
      <c r="AI24" s="2">
        <f t="shared" si="12"/>
        <v>41.048751503547585</v>
      </c>
      <c r="AJ24" s="2">
        <f t="shared" si="12"/>
        <v>41.880783182743848</v>
      </c>
      <c r="AK24" s="2">
        <f t="shared" si="12"/>
        <v>42.720018726587654</v>
      </c>
      <c r="AL24" s="2">
        <f t="shared" si="12"/>
        <v>43.56604182158393</v>
      </c>
      <c r="AM24" s="2">
        <f t="shared" si="12"/>
        <v>44.418464629025621</v>
      </c>
      <c r="AN24" s="2">
        <f t="shared" si="12"/>
        <v>45.276925690687087</v>
      </c>
      <c r="AO24" s="2">
        <f t="shared" si="12"/>
        <v>46.141087980237309</v>
      </c>
      <c r="AP24" s="2">
        <f t="shared" si="4"/>
        <v>47.010637094172637</v>
      </c>
      <c r="AQ24" s="2">
        <f t="shared" si="4"/>
        <v>47.885279575251516</v>
      </c>
      <c r="AR24" s="2">
        <f t="shared" si="4"/>
        <v>48.764741360946438</v>
      </c>
      <c r="AS24" s="9">
        <f t="shared" si="4"/>
        <v>49.648766349225639</v>
      </c>
      <c r="AT24" s="2">
        <f t="shared" si="4"/>
        <v>50.537115073973112</v>
      </c>
      <c r="AU24" s="2">
        <f t="shared" si="4"/>
        <v>51.429563482495162</v>
      </c>
      <c r="AV24" s="2">
        <f t="shared" si="4"/>
        <v>52.32590180780452</v>
      </c>
      <c r="AW24" s="2">
        <f t="shared" si="4"/>
        <v>53.225933528685054</v>
      </c>
      <c r="AX24" s="2">
        <f t="shared" si="4"/>
        <v>54.12947441089743</v>
      </c>
      <c r="AY24" s="2">
        <f t="shared" si="4"/>
        <v>55.036351623268054</v>
      </c>
    </row>
    <row r="25" spans="1:51" ht="15.75" thickBot="1" x14ac:dyDescent="0.3">
      <c r="A25" s="2">
        <v>24</v>
      </c>
      <c r="B25" s="2">
        <f t="shared" si="9"/>
        <v>24.020824298928627</v>
      </c>
      <c r="C25" s="2">
        <f t="shared" si="9"/>
        <v>24.083189157584592</v>
      </c>
      <c r="D25" s="2">
        <f t="shared" si="9"/>
        <v>24.186773244895647</v>
      </c>
      <c r="E25" s="2">
        <f t="shared" si="9"/>
        <v>24.331050121192877</v>
      </c>
      <c r="F25" s="2">
        <f t="shared" si="9"/>
        <v>24.515301344262525</v>
      </c>
      <c r="G25" s="2">
        <f t="shared" si="9"/>
        <v>24.738633753705962</v>
      </c>
      <c r="H25" s="2">
        <f t="shared" si="9"/>
        <v>25</v>
      </c>
      <c r="I25" s="2">
        <f t="shared" si="9"/>
        <v>25.298221281347036</v>
      </c>
      <c r="J25" s="2">
        <f t="shared" si="9"/>
        <v>25.632011235952593</v>
      </c>
      <c r="K25" s="15">
        <f t="shared" si="9"/>
        <v>26</v>
      </c>
      <c r="L25" s="15">
        <f t="shared" si="10"/>
        <v>26.40075756488817</v>
      </c>
      <c r="M25" s="2">
        <f t="shared" si="10"/>
        <v>26.832815729997478</v>
      </c>
      <c r="N25" s="2">
        <f t="shared" si="10"/>
        <v>27.294688127912362</v>
      </c>
      <c r="O25" s="2">
        <f t="shared" si="10"/>
        <v>27.784887978899608</v>
      </c>
      <c r="P25" s="2">
        <f t="shared" si="10"/>
        <v>28.301943396169811</v>
      </c>
      <c r="Q25" s="2">
        <f t="shared" si="10"/>
        <v>28.844410203711913</v>
      </c>
      <c r="R25" s="2">
        <f t="shared" si="10"/>
        <v>29.410882339705484</v>
      </c>
      <c r="S25" s="2">
        <f t="shared" si="10"/>
        <v>30</v>
      </c>
      <c r="T25" s="2">
        <f t="shared" si="10"/>
        <v>30.610455730027933</v>
      </c>
      <c r="U25" s="2">
        <f t="shared" si="10"/>
        <v>31.240998703626616</v>
      </c>
      <c r="V25" s="2">
        <f t="shared" si="11"/>
        <v>31.89043743820395</v>
      </c>
      <c r="W25" s="2">
        <f t="shared" si="11"/>
        <v>32.557641192199412</v>
      </c>
      <c r="X25" s="2">
        <f t="shared" si="11"/>
        <v>33.241540277189323</v>
      </c>
      <c r="Y25" s="2">
        <f t="shared" si="11"/>
        <v>33.941125496954278</v>
      </c>
      <c r="Z25" s="2">
        <f t="shared" si="11"/>
        <v>34.655446902326915</v>
      </c>
      <c r="AA25" s="2">
        <f t="shared" si="11"/>
        <v>35.383612025908263</v>
      </c>
      <c r="AB25" s="2">
        <f t="shared" si="11"/>
        <v>36.124783736376884</v>
      </c>
      <c r="AC25" s="2">
        <f t="shared" si="11"/>
        <v>36.878177829171548</v>
      </c>
      <c r="AD25" s="2">
        <f t="shared" si="11"/>
        <v>37.643060449437421</v>
      </c>
      <c r="AE25" s="2">
        <f t="shared" si="11"/>
        <v>38.418745424597091</v>
      </c>
      <c r="AF25" s="2">
        <f t="shared" si="12"/>
        <v>39.204591567825318</v>
      </c>
      <c r="AG25" s="6">
        <f t="shared" si="12"/>
        <v>40</v>
      </c>
      <c r="AH25" s="2">
        <f t="shared" si="12"/>
        <v>40.80441152620633</v>
      </c>
      <c r="AI25" s="2">
        <f t="shared" si="12"/>
        <v>41.617304093369626</v>
      </c>
      <c r="AJ25" s="2">
        <f t="shared" si="12"/>
        <v>42.43819034784589</v>
      </c>
      <c r="AK25" s="2">
        <f t="shared" si="12"/>
        <v>43.266615305567875</v>
      </c>
      <c r="AL25" s="2">
        <f t="shared" si="12"/>
        <v>44.10215414239989</v>
      </c>
      <c r="AM25" s="2">
        <f t="shared" si="12"/>
        <v>44.944410108488462</v>
      </c>
      <c r="AN25" s="2">
        <f t="shared" si="12"/>
        <v>45.793012567421243</v>
      </c>
      <c r="AO25" s="2">
        <f t="shared" si="12"/>
        <v>46.647615158762406</v>
      </c>
      <c r="AP25" s="2">
        <f t="shared" si="4"/>
        <v>47.507894080878813</v>
      </c>
      <c r="AQ25" s="2">
        <f t="shared" si="4"/>
        <v>48.373546489791295</v>
      </c>
      <c r="AR25" s="2">
        <f t="shared" si="4"/>
        <v>49.244289008980523</v>
      </c>
      <c r="AS25" s="10">
        <f t="shared" si="4"/>
        <v>50.119856344566671</v>
      </c>
      <c r="AT25" s="2">
        <f t="shared" si="4"/>
        <v>51</v>
      </c>
      <c r="AU25" s="2">
        <f t="shared" si="4"/>
        <v>51.884487084291386</v>
      </c>
      <c r="AV25" s="2">
        <f t="shared" si="4"/>
        <v>52.773099207835045</v>
      </c>
      <c r="AW25" s="2">
        <f t="shared" si="4"/>
        <v>53.665631459994955</v>
      </c>
      <c r="AX25" s="2">
        <f t="shared" si="4"/>
        <v>54.561891462814962</v>
      </c>
      <c r="AY25" s="2">
        <f t="shared" si="4"/>
        <v>55.461698495448189</v>
      </c>
    </row>
    <row r="26" spans="1:51" ht="15.75" thickBot="1" x14ac:dyDescent="0.3">
      <c r="A26" s="2">
        <v>25</v>
      </c>
      <c r="B26" s="2">
        <f t="shared" si="9"/>
        <v>25.019992006393608</v>
      </c>
      <c r="C26" s="2">
        <f t="shared" si="9"/>
        <v>25.079872407968907</v>
      </c>
      <c r="D26" s="2">
        <f t="shared" si="9"/>
        <v>25.179356624028344</v>
      </c>
      <c r="E26" s="2">
        <f t="shared" si="9"/>
        <v>25.317977802344327</v>
      </c>
      <c r="F26" s="2">
        <f t="shared" si="9"/>
        <v>25.495097567963924</v>
      </c>
      <c r="G26" s="2">
        <f t="shared" si="9"/>
        <v>25.709920264364882</v>
      </c>
      <c r="H26" s="2">
        <f t="shared" si="9"/>
        <v>25.96150997149434</v>
      </c>
      <c r="I26" s="2">
        <f t="shared" si="9"/>
        <v>26.248809496813376</v>
      </c>
      <c r="J26" s="2">
        <f t="shared" si="9"/>
        <v>26.570660511172846</v>
      </c>
      <c r="K26" s="15">
        <f t="shared" si="9"/>
        <v>26.92582403567252</v>
      </c>
      <c r="L26" s="15">
        <f t="shared" si="10"/>
        <v>27.313000567495326</v>
      </c>
      <c r="M26" s="2">
        <f t="shared" si="10"/>
        <v>27.730849247724095</v>
      </c>
      <c r="N26" s="2">
        <f t="shared" si="10"/>
        <v>28.178005607210743</v>
      </c>
      <c r="O26" s="2">
        <f t="shared" si="10"/>
        <v>28.653097563788805</v>
      </c>
      <c r="P26" s="2">
        <f t="shared" si="10"/>
        <v>29.154759474226502</v>
      </c>
      <c r="Q26" s="2">
        <f t="shared" si="10"/>
        <v>29.681644159311659</v>
      </c>
      <c r="R26" s="2">
        <f t="shared" si="10"/>
        <v>30.232432915661949</v>
      </c>
      <c r="S26" s="2">
        <f t="shared" si="10"/>
        <v>30.805843601498726</v>
      </c>
      <c r="T26" s="2">
        <f t="shared" si="10"/>
        <v>31.400636936215164</v>
      </c>
      <c r="U26" s="2">
        <f t="shared" si="10"/>
        <v>32.015621187164243</v>
      </c>
      <c r="V26" s="2">
        <f t="shared" si="11"/>
        <v>32.649655434629018</v>
      </c>
      <c r="W26" s="2">
        <f t="shared" si="11"/>
        <v>33.301651610693426</v>
      </c>
      <c r="X26" s="2">
        <f t="shared" si="11"/>
        <v>33.97057550292606</v>
      </c>
      <c r="Y26" s="2">
        <f t="shared" si="11"/>
        <v>34.655446902326915</v>
      </c>
      <c r="Z26" s="2">
        <f t="shared" si="11"/>
        <v>35.355339059327378</v>
      </c>
      <c r="AA26" s="2">
        <f t="shared" si="11"/>
        <v>36.069377593742864</v>
      </c>
      <c r="AB26" s="2">
        <f t="shared" si="11"/>
        <v>36.796738985948195</v>
      </c>
      <c r="AC26" s="2">
        <f t="shared" si="11"/>
        <v>37.536648758246919</v>
      </c>
      <c r="AD26" s="2">
        <f t="shared" si="11"/>
        <v>38.288379438153292</v>
      </c>
      <c r="AE26" s="2">
        <f t="shared" si="11"/>
        <v>39.05124837953327</v>
      </c>
      <c r="AF26" s="6">
        <f t="shared" si="12"/>
        <v>39.824615503479755</v>
      </c>
      <c r="AG26" s="2">
        <f t="shared" si="12"/>
        <v>40.607881008493905</v>
      </c>
      <c r="AH26" s="2">
        <f t="shared" si="12"/>
        <v>41.400483088968905</v>
      </c>
      <c r="AI26" s="2">
        <f t="shared" si="12"/>
        <v>42.201895692018383</v>
      </c>
      <c r="AJ26" s="2">
        <f t="shared" si="12"/>
        <v>43.011626335213137</v>
      </c>
      <c r="AK26" s="2">
        <f t="shared" si="12"/>
        <v>43.829214001622255</v>
      </c>
      <c r="AL26" s="2">
        <f t="shared" si="12"/>
        <v>44.654227123532216</v>
      </c>
      <c r="AM26" s="2">
        <f t="shared" si="12"/>
        <v>45.486261662176638</v>
      </c>
      <c r="AN26" s="2">
        <f t="shared" si="12"/>
        <v>46.324939287601879</v>
      </c>
      <c r="AO26" s="2">
        <f t="shared" si="12"/>
        <v>47.169905660283021</v>
      </c>
      <c r="AP26" s="2">
        <f t="shared" si="4"/>
        <v>48.020828814171878</v>
      </c>
      <c r="AQ26" s="2">
        <f t="shared" si="4"/>
        <v>48.877397639399746</v>
      </c>
      <c r="AR26" s="9">
        <f t="shared" si="4"/>
        <v>49.739320461783549</v>
      </c>
      <c r="AS26" s="2">
        <f t="shared" si="4"/>
        <v>50.606323715519977</v>
      </c>
      <c r="AT26" s="2">
        <f t="shared" si="4"/>
        <v>51.478150704935004</v>
      </c>
      <c r="AU26" s="2">
        <f t="shared" si="4"/>
        <v>52.354560450833695</v>
      </c>
      <c r="AV26" s="2">
        <f t="shared" si="4"/>
        <v>53.235326616824658</v>
      </c>
      <c r="AW26" s="2">
        <f t="shared" si="4"/>
        <v>54.120236510939236</v>
      </c>
      <c r="AX26" s="2">
        <f t="shared" si="4"/>
        <v>55.009090157900268</v>
      </c>
      <c r="AY26" s="2">
        <f t="shared" si="4"/>
        <v>55.901699437494742</v>
      </c>
    </row>
    <row r="27" spans="1:51" ht="15.75" thickBot="1" x14ac:dyDescent="0.3">
      <c r="A27" s="2">
        <v>26</v>
      </c>
      <c r="B27" s="2">
        <f t="shared" si="9"/>
        <v>26.019223662515376</v>
      </c>
      <c r="C27" s="2">
        <f t="shared" si="9"/>
        <v>26.076809620810597</v>
      </c>
      <c r="D27" s="2">
        <f t="shared" si="9"/>
        <v>26.172504656604801</v>
      </c>
      <c r="E27" s="2">
        <f t="shared" si="9"/>
        <v>26.305892875931811</v>
      </c>
      <c r="F27" s="2">
        <f t="shared" si="9"/>
        <v>26.476404589747453</v>
      </c>
      <c r="G27" s="2">
        <f t="shared" si="9"/>
        <v>26.683328128252668</v>
      </c>
      <c r="H27" s="2">
        <f t="shared" si="9"/>
        <v>26.92582403567252</v>
      </c>
      <c r="I27" s="2">
        <f t="shared" si="9"/>
        <v>27.202941017470888</v>
      </c>
      <c r="J27" s="2">
        <f t="shared" si="9"/>
        <v>27.513632984395208</v>
      </c>
      <c r="K27" s="15">
        <f t="shared" si="9"/>
        <v>27.856776554368238</v>
      </c>
      <c r="L27" s="15">
        <f t="shared" si="10"/>
        <v>28.231188426986208</v>
      </c>
      <c r="M27" s="2">
        <f t="shared" si="10"/>
        <v>28.635642126552707</v>
      </c>
      <c r="N27" s="2">
        <f t="shared" si="10"/>
        <v>29.068883707497267</v>
      </c>
      <c r="O27" s="2">
        <f t="shared" si="10"/>
        <v>29.529646120466801</v>
      </c>
      <c r="P27" s="2">
        <f t="shared" si="10"/>
        <v>30.016662039607269</v>
      </c>
      <c r="Q27" s="2">
        <f t="shared" si="10"/>
        <v>30.528675044947494</v>
      </c>
      <c r="R27" s="2">
        <f t="shared" si="10"/>
        <v>31.064449134018133</v>
      </c>
      <c r="S27" s="2">
        <f t="shared" si="10"/>
        <v>31.622776601683793</v>
      </c>
      <c r="T27" s="2">
        <f t="shared" si="10"/>
        <v>32.202484376209235</v>
      </c>
      <c r="U27" s="2">
        <f t="shared" si="10"/>
        <v>32.802438933713454</v>
      </c>
      <c r="V27" s="2">
        <f t="shared" si="11"/>
        <v>33.421549934136806</v>
      </c>
      <c r="W27" s="2">
        <f t="shared" si="11"/>
        <v>34.058772731852805</v>
      </c>
      <c r="X27" s="2">
        <f t="shared" si="11"/>
        <v>34.713109915419565</v>
      </c>
      <c r="Y27" s="2">
        <f t="shared" si="11"/>
        <v>35.383612025908263</v>
      </c>
      <c r="Z27" s="2">
        <f t="shared" si="11"/>
        <v>36.069377593742864</v>
      </c>
      <c r="AA27" s="2">
        <f t="shared" si="11"/>
        <v>36.76955262170047</v>
      </c>
      <c r="AB27" s="2">
        <f t="shared" si="11"/>
        <v>37.483329627982627</v>
      </c>
      <c r="AC27" s="2">
        <f t="shared" si="11"/>
        <v>38.209946349085598</v>
      </c>
      <c r="AD27" s="2">
        <f t="shared" si="11"/>
        <v>38.948684188300895</v>
      </c>
      <c r="AE27" s="6">
        <f t="shared" si="11"/>
        <v>39.698866482558415</v>
      </c>
      <c r="AF27" s="6">
        <f t="shared" si="12"/>
        <v>40.459856648287818</v>
      </c>
      <c r="AG27" s="2">
        <f t="shared" si="12"/>
        <v>41.231056256176608</v>
      </c>
      <c r="AH27" s="2">
        <f t="shared" si="12"/>
        <v>42.01190307520001</v>
      </c>
      <c r="AI27" s="2">
        <f t="shared" si="12"/>
        <v>42.80186911806539</v>
      </c>
      <c r="AJ27" s="2">
        <f t="shared" si="12"/>
        <v>43.600458713183279</v>
      </c>
      <c r="AK27" s="2">
        <f t="shared" si="12"/>
        <v>44.407206622349037</v>
      </c>
      <c r="AL27" s="2">
        <f t="shared" si="12"/>
        <v>45.221676218380054</v>
      </c>
      <c r="AM27" s="2">
        <f t="shared" si="12"/>
        <v>46.043457732885351</v>
      </c>
      <c r="AN27" s="2">
        <f t="shared" si="12"/>
        <v>46.872166581031863</v>
      </c>
      <c r="AO27" s="2">
        <f t="shared" si="12"/>
        <v>47.707441767506253</v>
      </c>
      <c r="AP27" s="2">
        <f t="shared" si="4"/>
        <v>48.548944375753422</v>
      </c>
      <c r="AQ27" s="2">
        <f t="shared" si="4"/>
        <v>49.396356140913873</v>
      </c>
      <c r="AR27" s="10">
        <f t="shared" si="4"/>
        <v>50.24937810560445</v>
      </c>
      <c r="AS27" s="2">
        <f t="shared" si="4"/>
        <v>51.107729356722551</v>
      </c>
      <c r="AT27" s="2">
        <f t="shared" si="4"/>
        <v>51.97114584074513</v>
      </c>
      <c r="AU27" s="2">
        <f t="shared" si="4"/>
        <v>52.839379254491625</v>
      </c>
      <c r="AV27" s="2">
        <f t="shared" si="4"/>
        <v>53.712196007983138</v>
      </c>
      <c r="AW27" s="2">
        <f t="shared" si="4"/>
        <v>54.589376255824725</v>
      </c>
      <c r="AX27" s="2">
        <f t="shared" si="4"/>
        <v>55.470712993434653</v>
      </c>
      <c r="AY27" s="2">
        <f t="shared" si="4"/>
        <v>56.356011214421486</v>
      </c>
    </row>
    <row r="28" spans="1:51" ht="15.75" thickBot="1" x14ac:dyDescent="0.3">
      <c r="A28" s="2">
        <v>27</v>
      </c>
      <c r="B28" s="2">
        <f t="shared" si="9"/>
        <v>27.018512172212592</v>
      </c>
      <c r="C28" s="2">
        <f t="shared" si="9"/>
        <v>27.073972741361768</v>
      </c>
      <c r="D28" s="2">
        <f t="shared" si="9"/>
        <v>27.166155414412248</v>
      </c>
      <c r="E28" s="2">
        <f t="shared" si="9"/>
        <v>27.294688127912362</v>
      </c>
      <c r="F28" s="2">
        <f t="shared" si="9"/>
        <v>27.459060435491963</v>
      </c>
      <c r="G28" s="2">
        <f t="shared" si="9"/>
        <v>27.658633371878661</v>
      </c>
      <c r="H28" s="2">
        <f t="shared" si="9"/>
        <v>27.892651361962706</v>
      </c>
      <c r="I28" s="2">
        <f t="shared" si="9"/>
        <v>28.160255680657446</v>
      </c>
      <c r="J28" s="2">
        <f t="shared" si="9"/>
        <v>28.460498941515414</v>
      </c>
      <c r="K28" s="15">
        <f t="shared" si="9"/>
        <v>28.792360097775937</v>
      </c>
      <c r="L28" s="15">
        <f t="shared" si="10"/>
        <v>29.154759474226502</v>
      </c>
      <c r="M28" s="2">
        <f t="shared" si="10"/>
        <v>29.546573405388315</v>
      </c>
      <c r="N28" s="2">
        <f t="shared" si="10"/>
        <v>29.966648127543394</v>
      </c>
      <c r="O28" s="2">
        <f t="shared" si="10"/>
        <v>30.413812651491099</v>
      </c>
      <c r="P28" s="2">
        <f t="shared" si="10"/>
        <v>30.886890422961002</v>
      </c>
      <c r="Q28" s="2">
        <f t="shared" si="10"/>
        <v>31.384709652950431</v>
      </c>
      <c r="R28" s="2">
        <f t="shared" si="10"/>
        <v>31.906112267087632</v>
      </c>
      <c r="S28" s="2">
        <f t="shared" si="10"/>
        <v>32.449961479175904</v>
      </c>
      <c r="T28" s="2">
        <f t="shared" si="10"/>
        <v>33.015148038438355</v>
      </c>
      <c r="U28" s="2">
        <f t="shared" si="10"/>
        <v>33.600595232822883</v>
      </c>
      <c r="V28" s="2">
        <f t="shared" si="11"/>
        <v>34.205262752974143</v>
      </c>
      <c r="W28" s="2">
        <f t="shared" si="11"/>
        <v>34.828149534535996</v>
      </c>
      <c r="X28" s="2">
        <f t="shared" si="11"/>
        <v>35.468295701936398</v>
      </c>
      <c r="Y28" s="2">
        <f t="shared" si="11"/>
        <v>36.124783736376884</v>
      </c>
      <c r="Z28" s="2">
        <f t="shared" si="11"/>
        <v>36.796738985948195</v>
      </c>
      <c r="AA28" s="2">
        <f t="shared" si="11"/>
        <v>37.483329627982627</v>
      </c>
      <c r="AB28" s="2">
        <f t="shared" si="11"/>
        <v>38.183766184073569</v>
      </c>
      <c r="AC28" s="2">
        <f t="shared" si="11"/>
        <v>38.897300677553446</v>
      </c>
      <c r="AD28" s="6">
        <f t="shared" si="11"/>
        <v>39.623225512317902</v>
      </c>
      <c r="AE28" s="6">
        <f t="shared" si="11"/>
        <v>40.36087214122113</v>
      </c>
      <c r="AF28" s="2">
        <f t="shared" si="12"/>
        <v>41.109609582188931</v>
      </c>
      <c r="AG28" s="2">
        <f t="shared" si="12"/>
        <v>41.868842830916641</v>
      </c>
      <c r="AH28" s="2">
        <f t="shared" si="12"/>
        <v>42.638011210655684</v>
      </c>
      <c r="AI28" s="2">
        <f t="shared" si="12"/>
        <v>43.416586692184822</v>
      </c>
      <c r="AJ28" s="2">
        <f t="shared" si="12"/>
        <v>44.204072210600685</v>
      </c>
      <c r="AK28" s="2">
        <f t="shared" si="12"/>
        <v>45</v>
      </c>
      <c r="AL28" s="2">
        <f t="shared" si="12"/>
        <v>45.803929962395145</v>
      </c>
      <c r="AM28" s="2">
        <f t="shared" si="12"/>
        <v>46.61544808322666</v>
      </c>
      <c r="AN28" s="2">
        <f t="shared" si="12"/>
        <v>47.434164902525687</v>
      </c>
      <c r="AO28" s="2">
        <f t="shared" si="12"/>
        <v>48.259714048054619</v>
      </c>
      <c r="AP28" s="2">
        <f t="shared" si="4"/>
        <v>49.091750834534309</v>
      </c>
      <c r="AQ28" s="9">
        <f t="shared" ref="AP28:AY51" si="13">SQRT($A28^2+AQ$1^2)</f>
        <v>49.929950931279713</v>
      </c>
      <c r="AR28" s="2">
        <f t="shared" si="13"/>
        <v>50.774009099144415</v>
      </c>
      <c r="AS28" s="2">
        <f t="shared" si="13"/>
        <v>51.623637996561229</v>
      </c>
      <c r="AT28" s="2">
        <f t="shared" si="13"/>
        <v>52.478567053607705</v>
      </c>
      <c r="AU28" s="2">
        <f t="shared" si="13"/>
        <v>53.338541412378348</v>
      </c>
      <c r="AV28" s="2">
        <f t="shared" si="13"/>
        <v>54.203320931470607</v>
      </c>
      <c r="AW28" s="2">
        <f t="shared" si="13"/>
        <v>55.072679252057455</v>
      </c>
      <c r="AX28" s="2">
        <f t="shared" si="13"/>
        <v>55.946402922797461</v>
      </c>
      <c r="AY28" s="2">
        <f t="shared" si="13"/>
        <v>56.824290580701486</v>
      </c>
    </row>
    <row r="29" spans="1:51" ht="15.75" thickBot="1" x14ac:dyDescent="0.3">
      <c r="A29" s="2">
        <v>28</v>
      </c>
      <c r="B29" s="2">
        <f t="shared" si="9"/>
        <v>28.0178514522438</v>
      </c>
      <c r="C29" s="2">
        <f t="shared" si="9"/>
        <v>28.071337695236398</v>
      </c>
      <c r="D29" s="2">
        <f t="shared" si="9"/>
        <v>28.160255680657446</v>
      </c>
      <c r="E29" s="2">
        <f t="shared" si="9"/>
        <v>28.284271247461902</v>
      </c>
      <c r="F29" s="2">
        <f t="shared" si="9"/>
        <v>28.442925306655784</v>
      </c>
      <c r="G29" s="2">
        <f t="shared" si="9"/>
        <v>28.635642126552707</v>
      </c>
      <c r="H29" s="2">
        <f t="shared" si="9"/>
        <v>28.861739379323623</v>
      </c>
      <c r="I29" s="2">
        <f t="shared" si="9"/>
        <v>29.120439557122072</v>
      </c>
      <c r="J29" s="2">
        <f t="shared" si="9"/>
        <v>29.410882339705484</v>
      </c>
      <c r="K29" s="15">
        <f t="shared" si="9"/>
        <v>29.732137494637012</v>
      </c>
      <c r="L29" s="15">
        <f t="shared" si="10"/>
        <v>30.083217912982647</v>
      </c>
      <c r="M29" s="2">
        <f t="shared" si="10"/>
        <v>30.463092423455635</v>
      </c>
      <c r="N29" s="2">
        <f t="shared" si="10"/>
        <v>30.870698080866262</v>
      </c>
      <c r="O29" s="2">
        <f t="shared" si="10"/>
        <v>31.304951684997057</v>
      </c>
      <c r="P29" s="2">
        <f t="shared" si="10"/>
        <v>31.76476034853718</v>
      </c>
      <c r="Q29" s="2">
        <f t="shared" si="10"/>
        <v>32.249030993194197</v>
      </c>
      <c r="R29" s="2">
        <f t="shared" si="10"/>
        <v>32.756678708318397</v>
      </c>
      <c r="S29" s="2">
        <f t="shared" si="10"/>
        <v>33.286633954186478</v>
      </c>
      <c r="T29" s="2">
        <f t="shared" si="10"/>
        <v>33.837848631377263</v>
      </c>
      <c r="U29" s="2">
        <f t="shared" si="10"/>
        <v>34.409301068170507</v>
      </c>
      <c r="V29" s="2">
        <f t="shared" si="11"/>
        <v>35</v>
      </c>
      <c r="W29" s="2">
        <f t="shared" si="11"/>
        <v>35.608987629529715</v>
      </c>
      <c r="X29" s="2">
        <f t="shared" si="11"/>
        <v>36.235341863986875</v>
      </c>
      <c r="Y29" s="2">
        <f t="shared" si="11"/>
        <v>36.878177829171548</v>
      </c>
      <c r="Z29" s="2">
        <f t="shared" si="11"/>
        <v>37.536648758246919</v>
      </c>
      <c r="AA29" s="2">
        <f t="shared" si="11"/>
        <v>38.209946349085598</v>
      </c>
      <c r="AB29" s="2">
        <f t="shared" si="11"/>
        <v>38.897300677553446</v>
      </c>
      <c r="AC29" s="6">
        <f t="shared" si="11"/>
        <v>39.597979746446661</v>
      </c>
      <c r="AD29" s="6">
        <f t="shared" si="11"/>
        <v>40.311288741492746</v>
      </c>
      <c r="AE29" s="2">
        <f t="shared" si="11"/>
        <v>41.036569057366385</v>
      </c>
      <c r="AF29" s="2">
        <f t="shared" si="12"/>
        <v>41.773197148410844</v>
      </c>
      <c r="AG29" s="2">
        <f t="shared" si="12"/>
        <v>42.5205832509386</v>
      </c>
      <c r="AH29" s="2">
        <f t="shared" si="12"/>
        <v>43.278170016764804</v>
      </c>
      <c r="AI29" s="2">
        <f t="shared" si="12"/>
        <v>44.045431091090478</v>
      </c>
      <c r="AJ29" s="2">
        <f t="shared" si="12"/>
        <v>44.82186966202994</v>
      </c>
      <c r="AK29" s="2">
        <f t="shared" si="12"/>
        <v>45.607017003965517</v>
      </c>
      <c r="AL29" s="2">
        <f t="shared" si="12"/>
        <v>46.400431032480725</v>
      </c>
      <c r="AM29" s="2">
        <f t="shared" si="12"/>
        <v>47.201694884823787</v>
      </c>
      <c r="AN29" s="2">
        <f t="shared" si="12"/>
        <v>48.010415536631214</v>
      </c>
      <c r="AO29" s="2">
        <f t="shared" si="12"/>
        <v>48.826222462934808</v>
      </c>
      <c r="AP29" s="6">
        <f t="shared" si="13"/>
        <v>49.648766349225639</v>
      </c>
      <c r="AQ29" s="10">
        <f t="shared" si="13"/>
        <v>50.47771785649585</v>
      </c>
      <c r="AR29" s="2">
        <f t="shared" si="13"/>
        <v>51.312766442669997</v>
      </c>
      <c r="AS29" s="2">
        <f t="shared" si="13"/>
        <v>52.153619241621193</v>
      </c>
      <c r="AT29" s="2">
        <f t="shared" si="13"/>
        <v>53</v>
      </c>
      <c r="AU29" s="2">
        <f t="shared" si="13"/>
        <v>53.851648071345039</v>
      </c>
      <c r="AV29" s="2">
        <f t="shared" si="13"/>
        <v>54.708317466359723</v>
      </c>
      <c r="AW29" s="2">
        <f t="shared" si="13"/>
        <v>55.569775957799216</v>
      </c>
      <c r="AX29" s="2">
        <f t="shared" si="13"/>
        <v>56.435804238089851</v>
      </c>
      <c r="AY29" s="2">
        <f t="shared" si="13"/>
        <v>57.30619512757761</v>
      </c>
    </row>
    <row r="30" spans="1:51" ht="15.75" thickBot="1" x14ac:dyDescent="0.3">
      <c r="A30" s="2">
        <v>29</v>
      </c>
      <c r="B30" s="2">
        <f t="shared" si="9"/>
        <v>29.017236257093817</v>
      </c>
      <c r="C30" s="2">
        <f t="shared" si="9"/>
        <v>29.068883707497267</v>
      </c>
      <c r="D30" s="2">
        <f t="shared" si="9"/>
        <v>29.154759474226502</v>
      </c>
      <c r="E30" s="2">
        <f t="shared" si="9"/>
        <v>29.274562336608895</v>
      </c>
      <c r="F30" s="2">
        <f t="shared" si="9"/>
        <v>29.427877939124322</v>
      </c>
      <c r="G30" s="2">
        <f t="shared" si="9"/>
        <v>29.614185789921695</v>
      </c>
      <c r="H30" s="2">
        <f t="shared" si="9"/>
        <v>29.832867780352597</v>
      </c>
      <c r="I30" s="2">
        <f t="shared" si="9"/>
        <v>30.083217912982647</v>
      </c>
      <c r="J30" s="2">
        <f t="shared" si="9"/>
        <v>30.364452901377952</v>
      </c>
      <c r="K30" s="15">
        <f t="shared" si="9"/>
        <v>30.675723300355934</v>
      </c>
      <c r="L30" s="15">
        <f t="shared" si="10"/>
        <v>31.016124838541646</v>
      </c>
      <c r="M30" s="2">
        <f t="shared" si="10"/>
        <v>31.384709652950431</v>
      </c>
      <c r="N30" s="2">
        <f t="shared" si="10"/>
        <v>31.780497164141408</v>
      </c>
      <c r="O30" s="2">
        <f t="shared" si="10"/>
        <v>32.202484376209235</v>
      </c>
      <c r="P30" s="2">
        <f t="shared" si="10"/>
        <v>32.649655434629018</v>
      </c>
      <c r="Q30" s="2">
        <f t="shared" si="10"/>
        <v>33.120990323358392</v>
      </c>
      <c r="R30" s="2">
        <f t="shared" si="10"/>
        <v>33.61547262794322</v>
      </c>
      <c r="S30" s="2">
        <f t="shared" si="10"/>
        <v>34.132096331752024</v>
      </c>
      <c r="T30" s="2">
        <f t="shared" si="10"/>
        <v>34.669871646719429</v>
      </c>
      <c r="U30" s="2">
        <f t="shared" si="10"/>
        <v>35.227829907617071</v>
      </c>
      <c r="V30" s="2">
        <f t="shared" si="11"/>
        <v>35.805027579936315</v>
      </c>
      <c r="W30" s="2">
        <f t="shared" si="11"/>
        <v>36.400549446402593</v>
      </c>
      <c r="X30" s="2">
        <f t="shared" si="11"/>
        <v>37.013511046643494</v>
      </c>
      <c r="Y30" s="2">
        <f t="shared" si="11"/>
        <v>37.643060449437421</v>
      </c>
      <c r="Z30" s="2">
        <f t="shared" si="11"/>
        <v>38.288379438153292</v>
      </c>
      <c r="AA30" s="2">
        <f t="shared" si="11"/>
        <v>38.948684188300895</v>
      </c>
      <c r="AB30" s="6">
        <f t="shared" si="11"/>
        <v>39.623225512317902</v>
      </c>
      <c r="AC30" s="6">
        <f t="shared" si="11"/>
        <v>40.311288741492746</v>
      </c>
      <c r="AD30" s="2">
        <f t="shared" si="11"/>
        <v>41.012193308819754</v>
      </c>
      <c r="AE30" s="2">
        <f t="shared" si="11"/>
        <v>41.725292090050132</v>
      </c>
      <c r="AF30" s="2">
        <f t="shared" si="12"/>
        <v>42.449970553582247</v>
      </c>
      <c r="AG30" s="2">
        <f t="shared" si="12"/>
        <v>43.185645763378368</v>
      </c>
      <c r="AH30" s="2">
        <f t="shared" si="12"/>
        <v>43.931765272977593</v>
      </c>
      <c r="AI30" s="2">
        <f t="shared" si="12"/>
        <v>44.687805943008662</v>
      </c>
      <c r="AJ30" s="2">
        <f t="shared" si="12"/>
        <v>45.453272709454048</v>
      </c>
      <c r="AK30" s="2">
        <f t="shared" si="12"/>
        <v>46.227697325304881</v>
      </c>
      <c r="AL30" s="2">
        <f t="shared" si="12"/>
        <v>47.010637094172637</v>
      </c>
      <c r="AM30" s="2">
        <f t="shared" si="12"/>
        <v>47.801673610868477</v>
      </c>
      <c r="AN30" s="2">
        <f t="shared" si="12"/>
        <v>48.60041152089147</v>
      </c>
      <c r="AO30" s="2">
        <f t="shared" si="12"/>
        <v>49.406477308142499</v>
      </c>
      <c r="AP30" s="6">
        <f t="shared" si="13"/>
        <v>50.219518117958877</v>
      </c>
      <c r="AQ30" s="2">
        <f t="shared" si="13"/>
        <v>51.039200620699383</v>
      </c>
      <c r="AR30" s="2">
        <f t="shared" si="13"/>
        <v>51.86520991955976</v>
      </c>
      <c r="AS30" s="2">
        <f t="shared" si="13"/>
        <v>52.697248505021591</v>
      </c>
      <c r="AT30" s="2">
        <f t="shared" si="13"/>
        <v>53.535035257296691</v>
      </c>
      <c r="AU30" s="2">
        <f t="shared" si="13"/>
        <v>54.378304497290095</v>
      </c>
      <c r="AV30" s="2">
        <f t="shared" si="13"/>
        <v>55.226805085936306</v>
      </c>
      <c r="AW30" s="2">
        <f t="shared" si="13"/>
        <v>56.080299571239813</v>
      </c>
      <c r="AX30" s="2">
        <f t="shared" si="13"/>
        <v>56.938563381947034</v>
      </c>
      <c r="AY30" s="2">
        <f t="shared" si="13"/>
        <v>57.801384066473702</v>
      </c>
    </row>
    <row r="31" spans="1:51" ht="15.75" thickBot="1" x14ac:dyDescent="0.3">
      <c r="A31" s="2">
        <v>30</v>
      </c>
      <c r="B31" s="2">
        <f t="shared" si="9"/>
        <v>30.016662039607269</v>
      </c>
      <c r="C31" s="2">
        <f t="shared" si="9"/>
        <v>30.066592756745816</v>
      </c>
      <c r="D31" s="2">
        <f t="shared" si="9"/>
        <v>30.14962686336267</v>
      </c>
      <c r="E31" s="2">
        <f t="shared" si="9"/>
        <v>30.265491900843113</v>
      </c>
      <c r="F31" s="2">
        <f t="shared" si="9"/>
        <v>30.413812651491099</v>
      </c>
      <c r="G31" s="2">
        <f t="shared" si="9"/>
        <v>30.594117081556711</v>
      </c>
      <c r="H31" s="2">
        <f t="shared" si="9"/>
        <v>30.805843601498726</v>
      </c>
      <c r="I31" s="2">
        <f t="shared" si="9"/>
        <v>31.048349392520048</v>
      </c>
      <c r="J31" s="2">
        <f t="shared" si="9"/>
        <v>31.32091952673165</v>
      </c>
      <c r="K31" s="15">
        <f t="shared" si="9"/>
        <v>31.622776601683793</v>
      </c>
      <c r="L31" s="15">
        <f t="shared" si="10"/>
        <v>31.953090617340916</v>
      </c>
      <c r="M31" s="2">
        <f t="shared" si="10"/>
        <v>32.310988842807021</v>
      </c>
      <c r="N31" s="2">
        <f t="shared" si="10"/>
        <v>32.695565448543633</v>
      </c>
      <c r="O31" s="2">
        <f t="shared" si="10"/>
        <v>33.105890714493697</v>
      </c>
      <c r="P31" s="2">
        <f t="shared" si="10"/>
        <v>33.541019662496844</v>
      </c>
      <c r="Q31" s="2">
        <f t="shared" si="10"/>
        <v>34</v>
      </c>
      <c r="R31" s="2">
        <f t="shared" si="10"/>
        <v>34.481879299133332</v>
      </c>
      <c r="S31" s="2">
        <f t="shared" si="10"/>
        <v>34.985711369071801</v>
      </c>
      <c r="T31" s="2">
        <f t="shared" si="10"/>
        <v>35.510561809129406</v>
      </c>
      <c r="U31" s="2">
        <f t="shared" si="10"/>
        <v>36.055512754639892</v>
      </c>
      <c r="V31" s="2">
        <f t="shared" si="11"/>
        <v>36.61966684720111</v>
      </c>
      <c r="W31" s="2">
        <f t="shared" si="11"/>
        <v>37.20215047547655</v>
      </c>
      <c r="X31" s="2">
        <f t="shared" si="11"/>
        <v>37.802116342871599</v>
      </c>
      <c r="Y31" s="2">
        <f t="shared" si="11"/>
        <v>38.418745424597091</v>
      </c>
      <c r="Z31" s="2">
        <f t="shared" si="11"/>
        <v>39.05124837953327</v>
      </c>
      <c r="AA31" s="6">
        <f t="shared" si="11"/>
        <v>39.698866482558415</v>
      </c>
      <c r="AB31" s="6">
        <f t="shared" si="11"/>
        <v>40.36087214122113</v>
      </c>
      <c r="AC31" s="2">
        <f t="shared" si="11"/>
        <v>41.036569057366385</v>
      </c>
      <c r="AD31" s="2">
        <f t="shared" si="11"/>
        <v>41.725292090050132</v>
      </c>
      <c r="AE31" s="2">
        <f t="shared" si="11"/>
        <v>42.426406871192853</v>
      </c>
      <c r="AF31" s="2">
        <f t="shared" si="12"/>
        <v>43.139309220245984</v>
      </c>
      <c r="AG31" s="2">
        <f t="shared" si="12"/>
        <v>43.863424398922618</v>
      </c>
      <c r="AH31" s="2">
        <f t="shared" si="12"/>
        <v>44.598206241955516</v>
      </c>
      <c r="AI31" s="2">
        <f t="shared" si="12"/>
        <v>45.343136195018538</v>
      </c>
      <c r="AJ31" s="2">
        <f t="shared" si="12"/>
        <v>46.097722286464439</v>
      </c>
      <c r="AK31" s="2">
        <f t="shared" si="12"/>
        <v>46.861498055439924</v>
      </c>
      <c r="AL31" s="2">
        <f t="shared" si="12"/>
        <v>47.634021455258214</v>
      </c>
      <c r="AM31" s="2">
        <f t="shared" si="12"/>
        <v>48.414873747640819</v>
      </c>
      <c r="AN31" s="2">
        <f t="shared" si="12"/>
        <v>49.203658400570177</v>
      </c>
      <c r="AO31" s="6">
        <f t="shared" si="12"/>
        <v>50</v>
      </c>
      <c r="AP31" s="2">
        <f t="shared" si="13"/>
        <v>50.803543183522152</v>
      </c>
      <c r="AQ31" s="2">
        <f t="shared" si="13"/>
        <v>51.61395160225576</v>
      </c>
      <c r="AR31" s="2">
        <f t="shared" si="13"/>
        <v>52.430906915673319</v>
      </c>
      <c r="AS31" s="2">
        <f t="shared" si="13"/>
        <v>53.254107822777392</v>
      </c>
      <c r="AT31" s="2">
        <f t="shared" si="13"/>
        <v>54.083269131959838</v>
      </c>
      <c r="AU31" s="2">
        <f t="shared" si="13"/>
        <v>54.918120870983927</v>
      </c>
      <c r="AV31" s="2">
        <f t="shared" si="13"/>
        <v>55.758407437802596</v>
      </c>
      <c r="AW31" s="2">
        <f t="shared" si="13"/>
        <v>56.603886792339623</v>
      </c>
      <c r="AX31" s="2">
        <f t="shared" si="13"/>
        <v>57.454329688892898</v>
      </c>
      <c r="AY31" s="2">
        <f t="shared" si="13"/>
        <v>58.309518948453004</v>
      </c>
    </row>
    <row r="32" spans="1:51" ht="15.75" thickBot="1" x14ac:dyDescent="0.3">
      <c r="A32" s="2">
        <v>31</v>
      </c>
      <c r="B32" s="2">
        <f t="shared" ref="B32:K47" si="14">SQRT($A32^2+B$1^2)</f>
        <v>31.016124838541646</v>
      </c>
      <c r="C32" s="2">
        <f t="shared" si="14"/>
        <v>31.064449134018133</v>
      </c>
      <c r="D32" s="2">
        <f t="shared" si="14"/>
        <v>31.144823004794873</v>
      </c>
      <c r="E32" s="2">
        <f t="shared" si="14"/>
        <v>31.256999216175569</v>
      </c>
      <c r="F32" s="2">
        <f t="shared" si="14"/>
        <v>31.400636936215164</v>
      </c>
      <c r="G32" s="2">
        <f t="shared" si="14"/>
        <v>31.575306807693888</v>
      </c>
      <c r="H32" s="2">
        <f t="shared" si="14"/>
        <v>31.780497164141408</v>
      </c>
      <c r="I32" s="2">
        <f t="shared" si="14"/>
        <v>32.015621187164243</v>
      </c>
      <c r="J32" s="2">
        <f t="shared" si="14"/>
        <v>32.280024783137947</v>
      </c>
      <c r="K32" s="15">
        <f t="shared" si="14"/>
        <v>32.572994949804659</v>
      </c>
      <c r="L32" s="15">
        <f t="shared" ref="L32:U47" si="15">SQRT($A32^2+L$1^2)</f>
        <v>32.893768406797051</v>
      </c>
      <c r="M32" s="2">
        <f t="shared" si="15"/>
        <v>33.241540277189323</v>
      </c>
      <c r="N32" s="2">
        <f t="shared" si="15"/>
        <v>33.61547262794322</v>
      </c>
      <c r="O32" s="2">
        <f t="shared" si="15"/>
        <v>34.014702703389901</v>
      </c>
      <c r="P32" s="2">
        <f t="shared" si="15"/>
        <v>34.438350715445125</v>
      </c>
      <c r="Q32" s="2">
        <f t="shared" si="15"/>
        <v>34.885527085024819</v>
      </c>
      <c r="R32" s="2">
        <f t="shared" si="15"/>
        <v>35.355339059327378</v>
      </c>
      <c r="S32" s="2">
        <f t="shared" si="15"/>
        <v>35.846896657869841</v>
      </c>
      <c r="T32" s="2">
        <f t="shared" si="15"/>
        <v>36.359317925395686</v>
      </c>
      <c r="U32" s="2">
        <f t="shared" si="15"/>
        <v>36.891733491393431</v>
      </c>
      <c r="V32" s="2">
        <f t="shared" ref="V32:AE47" si="16">SQRT($A32^2+V$1^2)</f>
        <v>37.443290453698111</v>
      </c>
      <c r="W32" s="2">
        <f t="shared" si="16"/>
        <v>38.013155617496423</v>
      </c>
      <c r="X32" s="2">
        <f t="shared" si="16"/>
        <v>38.600518131237564</v>
      </c>
      <c r="Y32" s="2">
        <f t="shared" si="16"/>
        <v>39.204591567825318</v>
      </c>
      <c r="Z32" s="3">
        <f t="shared" si="16"/>
        <v>39.824615503479755</v>
      </c>
      <c r="AA32" s="5">
        <f t="shared" si="16"/>
        <v>40.459856648287818</v>
      </c>
      <c r="AB32" s="2">
        <f t="shared" si="16"/>
        <v>41.109609582188931</v>
      </c>
      <c r="AC32" s="2">
        <f t="shared" si="16"/>
        <v>41.773197148410844</v>
      </c>
      <c r="AD32" s="2">
        <f t="shared" si="16"/>
        <v>42.449970553582247</v>
      </c>
      <c r="AE32" s="2">
        <f t="shared" si="16"/>
        <v>43.139309220245984</v>
      </c>
      <c r="AF32" s="2">
        <f t="shared" ref="AF32:AO47" si="17">SQRT($A32^2+AF$1^2)</f>
        <v>43.840620433565945</v>
      </c>
      <c r="AG32" s="2">
        <f t="shared" si="17"/>
        <v>44.553338819890925</v>
      </c>
      <c r="AH32" s="2">
        <f t="shared" si="17"/>
        <v>45.276925690687087</v>
      </c>
      <c r="AI32" s="2">
        <f t="shared" si="17"/>
        <v>46.010868281309364</v>
      </c>
      <c r="AJ32" s="2">
        <f t="shared" si="17"/>
        <v>46.75467891024384</v>
      </c>
      <c r="AK32" s="2">
        <f t="shared" si="17"/>
        <v>47.507894080878813</v>
      </c>
      <c r="AL32" s="2">
        <f t="shared" si="17"/>
        <v>48.270073544588683</v>
      </c>
      <c r="AM32" s="2">
        <f t="shared" si="17"/>
        <v>49.040799340956916</v>
      </c>
      <c r="AN32" s="6">
        <f t="shared" si="17"/>
        <v>49.819674828324601</v>
      </c>
      <c r="AO32" s="2">
        <f t="shared" si="17"/>
        <v>50.606323715519977</v>
      </c>
      <c r="AP32" s="2">
        <f t="shared" si="13"/>
        <v>51.400389103585589</v>
      </c>
      <c r="AQ32" s="2">
        <f t="shared" si="13"/>
        <v>52.201532544552748</v>
      </c>
      <c r="AR32" s="2">
        <f t="shared" si="13"/>
        <v>53.009433122794285</v>
      </c>
      <c r="AS32" s="2">
        <f t="shared" si="13"/>
        <v>53.823786563191554</v>
      </c>
      <c r="AT32" s="2">
        <f t="shared" si="13"/>
        <v>54.644304369257</v>
      </c>
      <c r="AU32" s="2">
        <f t="shared" si="13"/>
        <v>55.470712993434653</v>
      </c>
      <c r="AV32" s="2">
        <f t="shared" si="13"/>
        <v>56.302753041036986</v>
      </c>
      <c r="AW32" s="2">
        <f t="shared" si="13"/>
        <v>57.140178508646613</v>
      </c>
      <c r="AX32" s="2">
        <f t="shared" si="13"/>
        <v>57.982756057296896</v>
      </c>
      <c r="AY32" s="2">
        <f t="shared" si="13"/>
        <v>58.830264320330912</v>
      </c>
    </row>
    <row r="33" spans="1:51" ht="15.75" thickBot="1" x14ac:dyDescent="0.3">
      <c r="A33" s="2">
        <v>32</v>
      </c>
      <c r="B33" s="2">
        <f t="shared" si="14"/>
        <v>32.015621187164243</v>
      </c>
      <c r="C33" s="2">
        <f t="shared" si="14"/>
        <v>32.062439083762797</v>
      </c>
      <c r="D33" s="2">
        <f t="shared" si="14"/>
        <v>32.140317359976393</v>
      </c>
      <c r="E33" s="2">
        <f t="shared" si="14"/>
        <v>32.249030993194197</v>
      </c>
      <c r="F33" s="2">
        <f t="shared" si="14"/>
        <v>32.388269481403292</v>
      </c>
      <c r="G33" s="2">
        <f t="shared" si="14"/>
        <v>32.557641192199412</v>
      </c>
      <c r="H33" s="2">
        <f t="shared" si="14"/>
        <v>32.756678708318397</v>
      </c>
      <c r="I33" s="2">
        <f t="shared" si="14"/>
        <v>32.984845004941285</v>
      </c>
      <c r="J33" s="2">
        <f t="shared" si="14"/>
        <v>33.241540277189323</v>
      </c>
      <c r="K33" s="15">
        <f t="shared" si="14"/>
        <v>33.526109228480422</v>
      </c>
      <c r="L33" s="15">
        <f t="shared" si="15"/>
        <v>33.837848631377263</v>
      </c>
      <c r="M33" s="2">
        <f t="shared" si="15"/>
        <v>34.176014981270121</v>
      </c>
      <c r="N33" s="2">
        <f t="shared" si="15"/>
        <v>34.539832078341085</v>
      </c>
      <c r="O33" s="2">
        <f t="shared" si="15"/>
        <v>34.928498393145958</v>
      </c>
      <c r="P33" s="2">
        <f t="shared" si="15"/>
        <v>35.341194094144583</v>
      </c>
      <c r="Q33" s="2">
        <f t="shared" si="15"/>
        <v>35.777087639996637</v>
      </c>
      <c r="R33" s="2">
        <f t="shared" si="15"/>
        <v>36.235341863986875</v>
      </c>
      <c r="S33" s="2">
        <f t="shared" si="15"/>
        <v>36.715119501371639</v>
      </c>
      <c r="T33" s="2">
        <f t="shared" si="15"/>
        <v>37.215588131856791</v>
      </c>
      <c r="U33" s="2">
        <f t="shared" si="15"/>
        <v>37.735924528226413</v>
      </c>
      <c r="V33" s="2">
        <f t="shared" si="16"/>
        <v>38.275318418009277</v>
      </c>
      <c r="W33" s="2">
        <f t="shared" si="16"/>
        <v>38.832975677895199</v>
      </c>
      <c r="X33" s="2">
        <f t="shared" si="16"/>
        <v>39.408120990476064</v>
      </c>
      <c r="Y33" s="6">
        <f t="shared" si="16"/>
        <v>40</v>
      </c>
      <c r="Z33" s="2">
        <f t="shared" si="16"/>
        <v>40.607881008493905</v>
      </c>
      <c r="AA33" s="2">
        <f t="shared" si="16"/>
        <v>41.231056256176608</v>
      </c>
      <c r="AB33" s="2">
        <f t="shared" si="16"/>
        <v>41.868842830916641</v>
      </c>
      <c r="AC33" s="2">
        <f t="shared" si="16"/>
        <v>42.5205832509386</v>
      </c>
      <c r="AD33" s="2">
        <f t="shared" si="16"/>
        <v>43.185645763378368</v>
      </c>
      <c r="AE33" s="2">
        <f t="shared" si="16"/>
        <v>43.863424398922618</v>
      </c>
      <c r="AF33" s="2">
        <f t="shared" si="17"/>
        <v>44.553338819890925</v>
      </c>
      <c r="AG33" s="2">
        <f t="shared" si="17"/>
        <v>45.254833995939045</v>
      </c>
      <c r="AH33" s="2">
        <f t="shared" si="17"/>
        <v>45.967379738244816</v>
      </c>
      <c r="AI33" s="2">
        <f t="shared" si="17"/>
        <v>46.690470119715009</v>
      </c>
      <c r="AJ33" s="2">
        <f t="shared" si="17"/>
        <v>47.423622805517503</v>
      </c>
      <c r="AK33" s="2">
        <f t="shared" si="17"/>
        <v>48.166378315169183</v>
      </c>
      <c r="AL33" s="2">
        <f t="shared" si="17"/>
        <v>48.918299234540036</v>
      </c>
      <c r="AM33" s="3">
        <f t="shared" si="17"/>
        <v>49.678969393496885</v>
      </c>
      <c r="AN33" s="5">
        <f t="shared" si="17"/>
        <v>50.447993022517757</v>
      </c>
      <c r="AO33" s="2">
        <f t="shared" si="17"/>
        <v>51.224993899462788</v>
      </c>
      <c r="AP33" s="2">
        <f t="shared" si="13"/>
        <v>52.009614495783374</v>
      </c>
      <c r="AQ33" s="2">
        <f t="shared" si="13"/>
        <v>52.801515129776341</v>
      </c>
      <c r="AR33" s="2">
        <f t="shared" si="13"/>
        <v>53.600373133029585</v>
      </c>
      <c r="AS33" s="2">
        <f t="shared" si="13"/>
        <v>54.405882034941776</v>
      </c>
      <c r="AT33" s="2">
        <f t="shared" si="13"/>
        <v>55.21775076911409</v>
      </c>
      <c r="AU33" s="2">
        <f t="shared" si="13"/>
        <v>56.0357029044876</v>
      </c>
      <c r="AV33" s="2">
        <f t="shared" si="13"/>
        <v>56.859475903318</v>
      </c>
      <c r="AW33" s="2">
        <f t="shared" si="13"/>
        <v>57.688820407423826</v>
      </c>
      <c r="AX33" s="2">
        <f t="shared" si="13"/>
        <v>58.523499553598128</v>
      </c>
      <c r="AY33" s="2">
        <f t="shared" si="13"/>
        <v>59.363288318623319</v>
      </c>
    </row>
    <row r="34" spans="1:51" ht="15.75" thickBot="1" x14ac:dyDescent="0.3">
      <c r="A34" s="2">
        <v>33</v>
      </c>
      <c r="B34" s="2">
        <f t="shared" si="14"/>
        <v>33.015148038438355</v>
      </c>
      <c r="C34" s="2">
        <f t="shared" si="14"/>
        <v>33.060550509633082</v>
      </c>
      <c r="D34" s="2">
        <f t="shared" si="14"/>
        <v>33.136083051561783</v>
      </c>
      <c r="E34" s="2">
        <f t="shared" si="14"/>
        <v>33.241540277189323</v>
      </c>
      <c r="F34" s="2">
        <f t="shared" si="14"/>
        <v>33.376638536557273</v>
      </c>
      <c r="G34" s="2">
        <f t="shared" si="14"/>
        <v>33.541019662496844</v>
      </c>
      <c r="H34" s="2">
        <f t="shared" si="14"/>
        <v>33.734255586865999</v>
      </c>
      <c r="I34" s="2">
        <f t="shared" si="14"/>
        <v>33.955853692699293</v>
      </c>
      <c r="J34" s="2">
        <f t="shared" si="14"/>
        <v>34.205262752974143</v>
      </c>
      <c r="K34" s="15">
        <f t="shared" si="14"/>
        <v>34.481879299133332</v>
      </c>
      <c r="L34" s="15">
        <f t="shared" si="15"/>
        <v>34.785054261852174</v>
      </c>
      <c r="M34" s="2">
        <f t="shared" si="15"/>
        <v>35.114099732158877</v>
      </c>
      <c r="N34" s="2">
        <f t="shared" si="15"/>
        <v>35.468295701936398</v>
      </c>
      <c r="O34" s="2">
        <f t="shared" si="15"/>
        <v>35.846896657869841</v>
      </c>
      <c r="P34" s="2">
        <f t="shared" si="15"/>
        <v>36.249137920783717</v>
      </c>
      <c r="Q34" s="2">
        <f t="shared" si="15"/>
        <v>36.674241641784498</v>
      </c>
      <c r="R34" s="2">
        <f t="shared" si="15"/>
        <v>37.12142238654117</v>
      </c>
      <c r="S34" s="2">
        <f t="shared" si="15"/>
        <v>37.589892258425003</v>
      </c>
      <c r="T34" s="2">
        <f t="shared" si="15"/>
        <v>38.078865529319543</v>
      </c>
      <c r="U34" s="2">
        <f t="shared" si="15"/>
        <v>38.587562763149478</v>
      </c>
      <c r="V34" s="2">
        <f t="shared" si="16"/>
        <v>39.11521443121589</v>
      </c>
      <c r="W34" s="3">
        <f t="shared" si="16"/>
        <v>39.66106403010388</v>
      </c>
      <c r="X34" s="5">
        <f t="shared" si="16"/>
        <v>40.224370722237531</v>
      </c>
      <c r="Y34" s="2">
        <f t="shared" si="16"/>
        <v>40.80441152620633</v>
      </c>
      <c r="Z34" s="2">
        <f t="shared" si="16"/>
        <v>41.400483088968905</v>
      </c>
      <c r="AA34" s="2">
        <f t="shared" si="16"/>
        <v>42.01190307520001</v>
      </c>
      <c r="AB34" s="2">
        <f t="shared" si="16"/>
        <v>42.638011210655684</v>
      </c>
      <c r="AC34" s="2">
        <f t="shared" si="16"/>
        <v>43.278170016764804</v>
      </c>
      <c r="AD34" s="2">
        <f t="shared" si="16"/>
        <v>43.931765272977593</v>
      </c>
      <c r="AE34" s="2">
        <f t="shared" si="16"/>
        <v>44.598206241955516</v>
      </c>
      <c r="AF34" s="2">
        <f t="shared" si="17"/>
        <v>45.276925690687087</v>
      </c>
      <c r="AG34" s="2">
        <f t="shared" si="17"/>
        <v>45.967379738244816</v>
      </c>
      <c r="AH34" s="2">
        <f t="shared" si="17"/>
        <v>46.669047558312137</v>
      </c>
      <c r="AI34" s="2">
        <f t="shared" si="17"/>
        <v>47.381430961928537</v>
      </c>
      <c r="AJ34" s="2">
        <f t="shared" si="17"/>
        <v>48.104053883222775</v>
      </c>
      <c r="AK34" s="2">
        <f t="shared" si="17"/>
        <v>48.836461788299118</v>
      </c>
      <c r="AL34" s="6">
        <f t="shared" si="17"/>
        <v>49.578221024962161</v>
      </c>
      <c r="AM34" s="6">
        <f t="shared" si="17"/>
        <v>50.328918128646478</v>
      </c>
      <c r="AN34" s="2">
        <f t="shared" si="17"/>
        <v>51.088159097779204</v>
      </c>
      <c r="AO34" s="2">
        <f t="shared" si="17"/>
        <v>51.855568649856693</v>
      </c>
      <c r="AP34" s="2">
        <f t="shared" si="13"/>
        <v>52.630789467763066</v>
      </c>
      <c r="AQ34" s="2">
        <f t="shared" si="13"/>
        <v>53.413481444294568</v>
      </c>
      <c r="AR34" s="2">
        <f t="shared" si="13"/>
        <v>54.203320931470607</v>
      </c>
      <c r="AS34" s="2">
        <f t="shared" si="13"/>
        <v>55</v>
      </c>
      <c r="AT34" s="2">
        <f t="shared" si="13"/>
        <v>55.803225713214822</v>
      </c>
      <c r="AU34" s="2">
        <f t="shared" si="13"/>
        <v>56.612719418872643</v>
      </c>
      <c r="AV34" s="2">
        <f t="shared" si="13"/>
        <v>57.428216061444921</v>
      </c>
      <c r="AW34" s="2">
        <f t="shared" si="13"/>
        <v>58.249463516842795</v>
      </c>
      <c r="AX34" s="2">
        <f t="shared" si="13"/>
        <v>59.076221950967721</v>
      </c>
      <c r="AY34" s="2">
        <f t="shared" si="13"/>
        <v>59.908263203000637</v>
      </c>
    </row>
    <row r="35" spans="1:51" ht="15.75" thickBot="1" x14ac:dyDescent="0.3">
      <c r="A35" s="2">
        <v>34</v>
      </c>
      <c r="B35" s="2">
        <f t="shared" si="14"/>
        <v>34.014702703389901</v>
      </c>
      <c r="C35" s="2">
        <f t="shared" si="14"/>
        <v>34.058772731852805</v>
      </c>
      <c r="D35" s="2">
        <f t="shared" si="14"/>
        <v>34.132096331752024</v>
      </c>
      <c r="E35" s="2">
        <f t="shared" si="14"/>
        <v>34.23448553724738</v>
      </c>
      <c r="F35" s="2">
        <f t="shared" si="14"/>
        <v>34.365680554879162</v>
      </c>
      <c r="G35" s="2">
        <f t="shared" si="14"/>
        <v>34.525353003264136</v>
      </c>
      <c r="H35" s="2">
        <f t="shared" si="14"/>
        <v>34.713109915419565</v>
      </c>
      <c r="I35" s="2">
        <f t="shared" si="14"/>
        <v>34.928498393145958</v>
      </c>
      <c r="J35" s="2">
        <f t="shared" si="14"/>
        <v>35.171010790137949</v>
      </c>
      <c r="K35" s="15">
        <f t="shared" si="14"/>
        <v>35.440090293338699</v>
      </c>
      <c r="L35" s="15">
        <f t="shared" si="15"/>
        <v>35.735136770411273</v>
      </c>
      <c r="M35" s="2">
        <f t="shared" si="15"/>
        <v>36.055512754639892</v>
      </c>
      <c r="N35" s="2">
        <f t="shared" si="15"/>
        <v>36.400549446402593</v>
      </c>
      <c r="O35" s="2">
        <f t="shared" si="15"/>
        <v>36.76955262170047</v>
      </c>
      <c r="P35" s="2">
        <f t="shared" si="15"/>
        <v>37.161808352124091</v>
      </c>
      <c r="Q35" s="2">
        <f t="shared" si="15"/>
        <v>37.576588456111871</v>
      </c>
      <c r="R35" s="2">
        <f t="shared" si="15"/>
        <v>38.013155617496423</v>
      </c>
      <c r="S35" s="2">
        <f t="shared" si="15"/>
        <v>38.470768123342687</v>
      </c>
      <c r="T35" s="2">
        <f t="shared" si="15"/>
        <v>38.948684188300895</v>
      </c>
      <c r="U35" s="2">
        <f t="shared" si="15"/>
        <v>39.446165846632042</v>
      </c>
      <c r="V35" s="3">
        <f t="shared" si="16"/>
        <v>39.962482405376171</v>
      </c>
      <c r="W35" s="7">
        <f t="shared" si="16"/>
        <v>40.496913462633174</v>
      </c>
      <c r="X35" s="2">
        <f t="shared" si="16"/>
        <v>41.048751503547585</v>
      </c>
      <c r="Y35" s="2">
        <f t="shared" si="16"/>
        <v>41.617304093369626</v>
      </c>
      <c r="Z35" s="2">
        <f t="shared" si="16"/>
        <v>42.201895692018383</v>
      </c>
      <c r="AA35" s="2">
        <f t="shared" si="16"/>
        <v>42.80186911806539</v>
      </c>
      <c r="AB35" s="2">
        <f t="shared" si="16"/>
        <v>43.416586692184822</v>
      </c>
      <c r="AC35" s="2">
        <f t="shared" si="16"/>
        <v>44.045431091090478</v>
      </c>
      <c r="AD35" s="2">
        <f t="shared" si="16"/>
        <v>44.687805943008662</v>
      </c>
      <c r="AE35" s="2">
        <f t="shared" si="16"/>
        <v>45.343136195018538</v>
      </c>
      <c r="AF35" s="2">
        <f t="shared" si="17"/>
        <v>46.010868281309364</v>
      </c>
      <c r="AG35" s="2">
        <f t="shared" si="17"/>
        <v>46.690470119715009</v>
      </c>
      <c r="AH35" s="2">
        <f t="shared" si="17"/>
        <v>47.381430961928537</v>
      </c>
      <c r="AI35" s="2">
        <f t="shared" si="17"/>
        <v>48.083261120685229</v>
      </c>
      <c r="AJ35" s="2">
        <f t="shared" si="17"/>
        <v>48.795491595023407</v>
      </c>
      <c r="AK35" s="9">
        <f t="shared" si="17"/>
        <v>49.51767361255979</v>
      </c>
      <c r="AL35" s="6">
        <f t="shared" si="17"/>
        <v>50.24937810560445</v>
      </c>
      <c r="AM35" s="2">
        <f t="shared" si="17"/>
        <v>50.990195135927848</v>
      </c>
      <c r="AN35" s="2">
        <f t="shared" si="17"/>
        <v>51.739733281106119</v>
      </c>
      <c r="AO35" s="2">
        <f t="shared" si="17"/>
        <v>52.497618993626752</v>
      </c>
      <c r="AP35" s="2">
        <f t="shared" si="13"/>
        <v>53.263495942343098</v>
      </c>
      <c r="AQ35" s="2">
        <f t="shared" si="13"/>
        <v>54.037024344425184</v>
      </c>
      <c r="AR35" s="2">
        <f t="shared" si="13"/>
        <v>54.817880294662984</v>
      </c>
      <c r="AS35" s="2">
        <f t="shared" si="13"/>
        <v>55.605755097831377</v>
      </c>
      <c r="AT35" s="2">
        <f t="shared" si="13"/>
        <v>56.400354608814297</v>
      </c>
      <c r="AU35" s="2">
        <f t="shared" si="13"/>
        <v>57.201398584300364</v>
      </c>
      <c r="AV35" s="2">
        <f t="shared" si="13"/>
        <v>58.008620049092706</v>
      </c>
      <c r="AW35" s="2">
        <f t="shared" si="13"/>
        <v>58.821764679410968</v>
      </c>
      <c r="AX35" s="2">
        <f t="shared" si="13"/>
        <v>59.640590204993778</v>
      </c>
      <c r="AY35" s="2">
        <f t="shared" si="13"/>
        <v>60.464865831323898</v>
      </c>
    </row>
    <row r="36" spans="1:51" ht="15.75" thickBot="1" x14ac:dyDescent="0.3">
      <c r="A36" s="2">
        <v>35</v>
      </c>
      <c r="B36" s="2">
        <f t="shared" si="14"/>
        <v>35.014282800023196</v>
      </c>
      <c r="C36" s="2">
        <f t="shared" si="14"/>
        <v>35.057096285916209</v>
      </c>
      <c r="D36" s="2">
        <f t="shared" si="14"/>
        <v>35.128336140500593</v>
      </c>
      <c r="E36" s="2">
        <f t="shared" si="14"/>
        <v>35.227829907617071</v>
      </c>
      <c r="F36" s="2">
        <f t="shared" si="14"/>
        <v>35.355339059327378</v>
      </c>
      <c r="G36" s="2">
        <f t="shared" si="14"/>
        <v>35.510561809129406</v>
      </c>
      <c r="H36" s="2">
        <f t="shared" si="14"/>
        <v>35.693136595149497</v>
      </c>
      <c r="I36" s="2">
        <f t="shared" si="14"/>
        <v>35.902646142032481</v>
      </c>
      <c r="J36" s="2">
        <f t="shared" si="14"/>
        <v>36.138621999185304</v>
      </c>
      <c r="K36" s="15">
        <f t="shared" si="14"/>
        <v>36.400549446402593</v>
      </c>
      <c r="L36" s="15">
        <f t="shared" si="15"/>
        <v>36.687872655688281</v>
      </c>
      <c r="M36" s="2">
        <f t="shared" si="15"/>
        <v>37</v>
      </c>
      <c r="N36" s="2">
        <f t="shared" si="15"/>
        <v>37.336309405188942</v>
      </c>
      <c r="O36" s="2">
        <f t="shared" si="15"/>
        <v>37.696153649941529</v>
      </c>
      <c r="P36" s="2">
        <f t="shared" si="15"/>
        <v>38.078865529319543</v>
      </c>
      <c r="Q36" s="2">
        <f t="shared" si="15"/>
        <v>38.483762809787713</v>
      </c>
      <c r="R36" s="2">
        <f t="shared" si="15"/>
        <v>38.910152916687437</v>
      </c>
      <c r="S36" s="2">
        <f t="shared" si="15"/>
        <v>39.357337308308857</v>
      </c>
      <c r="T36" s="3">
        <f t="shared" si="15"/>
        <v>39.824615503479755</v>
      </c>
      <c r="U36" s="5">
        <f t="shared" si="15"/>
        <v>40.311288741492746</v>
      </c>
      <c r="V36" s="2">
        <f t="shared" si="16"/>
        <v>40.8166632639171</v>
      </c>
      <c r="W36" s="2">
        <f t="shared" si="16"/>
        <v>41.340053217188775</v>
      </c>
      <c r="X36" s="2">
        <f t="shared" si="16"/>
        <v>41.880783182743848</v>
      </c>
      <c r="Y36" s="2">
        <f t="shared" si="16"/>
        <v>42.43819034784589</v>
      </c>
      <c r="Z36" s="2">
        <f t="shared" si="16"/>
        <v>43.011626335213137</v>
      </c>
      <c r="AA36" s="2">
        <f t="shared" si="16"/>
        <v>43.600458713183279</v>
      </c>
      <c r="AB36" s="2">
        <f t="shared" si="16"/>
        <v>44.204072210600685</v>
      </c>
      <c r="AC36" s="2">
        <f t="shared" si="16"/>
        <v>44.82186966202994</v>
      </c>
      <c r="AD36" s="2">
        <f t="shared" si="16"/>
        <v>45.453272709454048</v>
      </c>
      <c r="AE36" s="2">
        <f t="shared" si="16"/>
        <v>46.097722286464439</v>
      </c>
      <c r="AF36" s="2">
        <f t="shared" si="17"/>
        <v>46.75467891024384</v>
      </c>
      <c r="AG36" s="2">
        <f t="shared" si="17"/>
        <v>47.423622805517503</v>
      </c>
      <c r="AH36" s="2">
        <f t="shared" si="17"/>
        <v>48.104053883222775</v>
      </c>
      <c r="AI36" s="2">
        <f t="shared" si="17"/>
        <v>48.795491595023407</v>
      </c>
      <c r="AJ36" s="2">
        <f t="shared" si="17"/>
        <v>49.497474683058329</v>
      </c>
      <c r="AK36" s="10">
        <f t="shared" si="17"/>
        <v>50.209560842532767</v>
      </c>
      <c r="AL36" s="2">
        <f t="shared" si="17"/>
        <v>50.931326312987373</v>
      </c>
      <c r="AM36" s="2">
        <f t="shared" si="17"/>
        <v>51.662365412357957</v>
      </c>
      <c r="AN36" s="2">
        <f t="shared" si="17"/>
        <v>52.40229002629561</v>
      </c>
      <c r="AO36" s="2">
        <f t="shared" si="17"/>
        <v>53.150729063673246</v>
      </c>
      <c r="AP36" s="2">
        <f t="shared" si="13"/>
        <v>53.907327887774215</v>
      </c>
      <c r="AQ36" s="2">
        <f t="shared" si="13"/>
        <v>54.671747731346578</v>
      </c>
      <c r="AR36" s="2">
        <f t="shared" si="13"/>
        <v>55.443665102516448</v>
      </c>
      <c r="AS36" s="2">
        <f t="shared" si="13"/>
        <v>56.222771187482387</v>
      </c>
      <c r="AT36" s="2">
        <f t="shared" si="13"/>
        <v>57.008771254956898</v>
      </c>
      <c r="AU36" s="2">
        <f t="shared" si="13"/>
        <v>57.801384066473702</v>
      </c>
      <c r="AV36" s="2">
        <f t="shared" si="13"/>
        <v>58.600341295934449</v>
      </c>
      <c r="AW36" s="2">
        <f t="shared" si="13"/>
        <v>59.405386961116584</v>
      </c>
      <c r="AX36" s="2">
        <f t="shared" si="13"/>
        <v>60.21627686929839</v>
      </c>
      <c r="AY36" s="2">
        <f t="shared" si="13"/>
        <v>61.032778078668514</v>
      </c>
    </row>
    <row r="37" spans="1:51" ht="15.75" thickBot="1" x14ac:dyDescent="0.3">
      <c r="A37" s="2">
        <v>36</v>
      </c>
      <c r="B37" s="2">
        <f t="shared" si="14"/>
        <v>36.013886210738214</v>
      </c>
      <c r="C37" s="2">
        <f t="shared" si="14"/>
        <v>36.055512754639892</v>
      </c>
      <c r="D37" s="2">
        <f t="shared" si="14"/>
        <v>36.124783736376884</v>
      </c>
      <c r="E37" s="2">
        <f t="shared" si="14"/>
        <v>36.221540552549669</v>
      </c>
      <c r="F37" s="2">
        <f t="shared" si="14"/>
        <v>36.345563690772494</v>
      </c>
      <c r="G37" s="2">
        <f t="shared" si="14"/>
        <v>36.496575181789318</v>
      </c>
      <c r="H37" s="2">
        <f t="shared" si="14"/>
        <v>36.674241641784498</v>
      </c>
      <c r="I37" s="2">
        <f t="shared" si="14"/>
        <v>36.878177829171548</v>
      </c>
      <c r="J37" s="2">
        <f t="shared" si="14"/>
        <v>37.107950630558946</v>
      </c>
      <c r="K37" s="15">
        <f t="shared" si="14"/>
        <v>37.363083384538811</v>
      </c>
      <c r="L37" s="15">
        <f t="shared" si="15"/>
        <v>37.643060449437421</v>
      </c>
      <c r="M37" s="2">
        <f t="shared" si="15"/>
        <v>37.947331922020552</v>
      </c>
      <c r="N37" s="2">
        <f t="shared" si="15"/>
        <v>38.275318418009277</v>
      </c>
      <c r="O37" s="2">
        <f t="shared" si="15"/>
        <v>38.626415831655933</v>
      </c>
      <c r="P37" s="2">
        <f t="shared" si="15"/>
        <v>39</v>
      </c>
      <c r="Q37" s="2">
        <f t="shared" si="15"/>
        <v>39.395431207184416</v>
      </c>
      <c r="R37" s="3">
        <f t="shared" si="15"/>
        <v>39.812058474788763</v>
      </c>
      <c r="S37" s="5">
        <f t="shared" si="15"/>
        <v>40.249223594996216</v>
      </c>
      <c r="T37" s="2">
        <f t="shared" si="15"/>
        <v>40.70626487409524</v>
      </c>
      <c r="U37" s="2">
        <f t="shared" si="15"/>
        <v>41.182520563948003</v>
      </c>
      <c r="V37" s="2">
        <f t="shared" si="16"/>
        <v>41.677331968349414</v>
      </c>
      <c r="W37" s="2">
        <f t="shared" si="16"/>
        <v>42.190046219457976</v>
      </c>
      <c r="X37" s="2">
        <f t="shared" si="16"/>
        <v>42.720018726587654</v>
      </c>
      <c r="Y37" s="2">
        <f t="shared" si="16"/>
        <v>43.266615305567875</v>
      </c>
      <c r="Z37" s="2">
        <f t="shared" si="16"/>
        <v>43.829214001622255</v>
      </c>
      <c r="AA37" s="2">
        <f t="shared" si="16"/>
        <v>44.407206622349037</v>
      </c>
      <c r="AB37" s="2">
        <f t="shared" si="16"/>
        <v>45</v>
      </c>
      <c r="AC37" s="2">
        <f t="shared" si="16"/>
        <v>45.607017003965517</v>
      </c>
      <c r="AD37" s="2">
        <f t="shared" si="16"/>
        <v>46.227697325304881</v>
      </c>
      <c r="AE37" s="2">
        <f t="shared" si="16"/>
        <v>46.861498055439924</v>
      </c>
      <c r="AF37" s="2">
        <f t="shared" si="17"/>
        <v>47.507894080878813</v>
      </c>
      <c r="AG37" s="2">
        <f t="shared" si="17"/>
        <v>48.166378315169183</v>
      </c>
      <c r="AH37" s="2">
        <f t="shared" si="17"/>
        <v>48.836461788299118</v>
      </c>
      <c r="AI37" s="3">
        <f t="shared" si="17"/>
        <v>49.51767361255979</v>
      </c>
      <c r="AJ37" s="5">
        <f t="shared" si="17"/>
        <v>50.209560842532767</v>
      </c>
      <c r="AK37" s="2">
        <f t="shared" si="17"/>
        <v>50.911688245431421</v>
      </c>
      <c r="AL37" s="2">
        <f t="shared" si="17"/>
        <v>51.623637996561229</v>
      </c>
      <c r="AM37" s="2">
        <f t="shared" si="17"/>
        <v>52.345009313209601</v>
      </c>
      <c r="AN37" s="2">
        <f t="shared" si="17"/>
        <v>53.075418038862395</v>
      </c>
      <c r="AO37" s="2">
        <f t="shared" si="17"/>
        <v>53.814496188294839</v>
      </c>
      <c r="AP37" s="2">
        <f t="shared" si="13"/>
        <v>54.561891462814962</v>
      </c>
      <c r="AQ37" s="2">
        <f t="shared" si="13"/>
        <v>55.317266743757322</v>
      </c>
      <c r="AR37" s="2">
        <f t="shared" si="13"/>
        <v>56.080299571239813</v>
      </c>
      <c r="AS37" s="2">
        <f t="shared" si="13"/>
        <v>56.850681614207581</v>
      </c>
      <c r="AT37" s="2">
        <f t="shared" si="13"/>
        <v>57.628118136895637</v>
      </c>
      <c r="AU37" s="2">
        <f t="shared" si="13"/>
        <v>58.412327466040935</v>
      </c>
      <c r="AV37" s="2">
        <f t="shared" si="13"/>
        <v>59.203040462462738</v>
      </c>
      <c r="AW37" s="2">
        <f t="shared" si="13"/>
        <v>60</v>
      </c>
      <c r="AX37" s="2">
        <f t="shared" si="13"/>
        <v>60.802960454241045</v>
      </c>
      <c r="AY37" s="2">
        <f t="shared" si="13"/>
        <v>61.611687202997452</v>
      </c>
    </row>
    <row r="38" spans="1:51" ht="15.75" thickBot="1" x14ac:dyDescent="0.3">
      <c r="A38" s="2">
        <v>37</v>
      </c>
      <c r="B38" s="2">
        <f t="shared" si="14"/>
        <v>37.013511046643494</v>
      </c>
      <c r="C38" s="2">
        <f t="shared" si="14"/>
        <v>37.054014627297811</v>
      </c>
      <c r="D38" s="2">
        <f t="shared" si="14"/>
        <v>37.12142238654117</v>
      </c>
      <c r="E38" s="2">
        <f t="shared" si="14"/>
        <v>37.215588131856791</v>
      </c>
      <c r="F38" s="2">
        <f t="shared" si="14"/>
        <v>37.336309405188942</v>
      </c>
      <c r="G38" s="2">
        <f t="shared" si="14"/>
        <v>37.483329627982627</v>
      </c>
      <c r="H38" s="2">
        <f t="shared" si="14"/>
        <v>37.656340767525464</v>
      </c>
      <c r="I38" s="2">
        <f t="shared" si="14"/>
        <v>37.8549864614954</v>
      </c>
      <c r="J38" s="2">
        <f t="shared" si="14"/>
        <v>38.078865529319543</v>
      </c>
      <c r="K38" s="15">
        <f t="shared" si="14"/>
        <v>38.327535793473601</v>
      </c>
      <c r="L38" s="15">
        <f t="shared" si="15"/>
        <v>38.600518131237564</v>
      </c>
      <c r="M38" s="2">
        <f t="shared" si="15"/>
        <v>38.897300677553446</v>
      </c>
      <c r="N38" s="2">
        <f t="shared" si="15"/>
        <v>39.217343102255157</v>
      </c>
      <c r="O38" s="3">
        <f t="shared" si="15"/>
        <v>39.560080889704963</v>
      </c>
      <c r="P38" s="4">
        <f t="shared" si="15"/>
        <v>39.924929555354261</v>
      </c>
      <c r="Q38" s="5">
        <f t="shared" si="15"/>
        <v>40.311288741492746</v>
      </c>
      <c r="R38" s="2">
        <f t="shared" si="15"/>
        <v>40.718546143004666</v>
      </c>
      <c r="S38" s="2">
        <f t="shared" si="15"/>
        <v>41.146081222881968</v>
      </c>
      <c r="T38" s="2">
        <f t="shared" si="15"/>
        <v>41.593268686170845</v>
      </c>
      <c r="U38" s="2">
        <f t="shared" si="15"/>
        <v>42.059481689626182</v>
      </c>
      <c r="V38" s="2">
        <f t="shared" si="16"/>
        <v>42.544094772365298</v>
      </c>
      <c r="W38" s="2">
        <f t="shared" si="16"/>
        <v>43.046486500061768</v>
      </c>
      <c r="X38" s="2">
        <f t="shared" si="16"/>
        <v>43.56604182158393</v>
      </c>
      <c r="Y38" s="2">
        <f t="shared" si="16"/>
        <v>44.10215414239989</v>
      </c>
      <c r="Z38" s="2">
        <f t="shared" si="16"/>
        <v>44.654227123532216</v>
      </c>
      <c r="AA38" s="2">
        <f t="shared" si="16"/>
        <v>45.221676218380054</v>
      </c>
      <c r="AB38" s="2">
        <f t="shared" si="16"/>
        <v>45.803929962395145</v>
      </c>
      <c r="AC38" s="2">
        <f t="shared" si="16"/>
        <v>46.400431032480725</v>
      </c>
      <c r="AD38" s="2">
        <f t="shared" si="16"/>
        <v>47.010637094172637</v>
      </c>
      <c r="AE38" s="2">
        <f t="shared" si="16"/>
        <v>47.634021455258214</v>
      </c>
      <c r="AF38" s="2">
        <f t="shared" si="17"/>
        <v>48.270073544588683</v>
      </c>
      <c r="AG38" s="2">
        <f t="shared" si="17"/>
        <v>48.918299234540036</v>
      </c>
      <c r="AH38" s="3">
        <f t="shared" si="17"/>
        <v>49.578221024962161</v>
      </c>
      <c r="AI38" s="5">
        <f t="shared" si="17"/>
        <v>50.24937810560445</v>
      </c>
      <c r="AJ38" s="2">
        <f t="shared" si="17"/>
        <v>50.931326312987373</v>
      </c>
      <c r="AK38" s="2">
        <f t="shared" si="17"/>
        <v>51.623637996561229</v>
      </c>
      <c r="AL38" s="2">
        <f t="shared" si="17"/>
        <v>52.32590180780452</v>
      </c>
      <c r="AM38" s="2">
        <f t="shared" si="17"/>
        <v>53.037722424704477</v>
      </c>
      <c r="AN38" s="2">
        <f t="shared" si="17"/>
        <v>53.758720222862451</v>
      </c>
      <c r="AO38" s="2">
        <f t="shared" si="17"/>
        <v>54.488530903301111</v>
      </c>
      <c r="AP38" s="2">
        <f t="shared" si="13"/>
        <v>55.226805085936306</v>
      </c>
      <c r="AQ38" s="2">
        <f t="shared" si="13"/>
        <v>55.97320787662612</v>
      </c>
      <c r="AR38" s="2">
        <f t="shared" si="13"/>
        <v>56.727418414731339</v>
      </c>
      <c r="AS38" s="2">
        <f t="shared" si="13"/>
        <v>57.489129407219238</v>
      </c>
      <c r="AT38" s="2">
        <f t="shared" si="13"/>
        <v>58.258046654518033</v>
      </c>
      <c r="AU38" s="2">
        <f t="shared" si="13"/>
        <v>59.033888572581766</v>
      </c>
      <c r="AV38" s="2">
        <f t="shared" si="13"/>
        <v>59.816385714952723</v>
      </c>
      <c r="AW38" s="2">
        <f t="shared" si="13"/>
        <v>60.605280298007038</v>
      </c>
      <c r="AX38" s="2">
        <f t="shared" si="13"/>
        <v>61.400325732035007</v>
      </c>
      <c r="AY38" s="2">
        <f t="shared" si="13"/>
        <v>62.201286160335947</v>
      </c>
    </row>
    <row r="39" spans="1:51" ht="15.75" thickBot="1" x14ac:dyDescent="0.3">
      <c r="A39" s="2">
        <v>38</v>
      </c>
      <c r="B39" s="2">
        <f t="shared" si="14"/>
        <v>38.013155617496423</v>
      </c>
      <c r="C39" s="2">
        <f t="shared" si="14"/>
        <v>38.052595180880893</v>
      </c>
      <c r="D39" s="2">
        <f t="shared" si="14"/>
        <v>38.118237105091836</v>
      </c>
      <c r="E39" s="2">
        <f t="shared" si="14"/>
        <v>38.209946349085598</v>
      </c>
      <c r="F39" s="2">
        <f t="shared" si="14"/>
        <v>38.327535793473601</v>
      </c>
      <c r="G39" s="2">
        <f t="shared" si="14"/>
        <v>38.470768123342687</v>
      </c>
      <c r="H39" s="2">
        <f t="shared" si="14"/>
        <v>38.639358172723313</v>
      </c>
      <c r="I39" s="2">
        <f t="shared" si="14"/>
        <v>38.832975677895199</v>
      </c>
      <c r="J39" s="2">
        <f t="shared" si="14"/>
        <v>39.05124837953327</v>
      </c>
      <c r="K39" s="2">
        <f t="shared" si="14"/>
        <v>39.293765408776999</v>
      </c>
      <c r="L39" s="14">
        <f t="shared" si="15"/>
        <v>39.560080889704963</v>
      </c>
      <c r="M39" s="4">
        <f t="shared" si="15"/>
        <v>39.849717690342551</v>
      </c>
      <c r="N39" s="4">
        <f t="shared" si="15"/>
        <v>40.162171256046406</v>
      </c>
      <c r="O39" s="5">
        <f t="shared" si="15"/>
        <v>40.496913462633174</v>
      </c>
      <c r="P39" s="2">
        <f t="shared" si="15"/>
        <v>40.853396431630991</v>
      </c>
      <c r="Q39" s="2">
        <f t="shared" si="15"/>
        <v>41.231056256176608</v>
      </c>
      <c r="R39" s="2">
        <f t="shared" si="15"/>
        <v>41.629316592997299</v>
      </c>
      <c r="S39" s="2">
        <f t="shared" si="15"/>
        <v>42.047592083257278</v>
      </c>
      <c r="T39" s="2">
        <f t="shared" si="15"/>
        <v>42.485291572496003</v>
      </c>
      <c r="U39" s="2">
        <f t="shared" si="15"/>
        <v>42.941821107167776</v>
      </c>
      <c r="V39" s="2">
        <f t="shared" si="16"/>
        <v>43.416586692184822</v>
      </c>
      <c r="W39" s="2">
        <f t="shared" si="16"/>
        <v>43.908996800200299</v>
      </c>
      <c r="X39" s="2">
        <f t="shared" si="16"/>
        <v>44.418464629025621</v>
      </c>
      <c r="Y39" s="2">
        <f t="shared" si="16"/>
        <v>44.944410108488462</v>
      </c>
      <c r="Z39" s="2">
        <f t="shared" si="16"/>
        <v>45.486261662176638</v>
      </c>
      <c r="AA39" s="2">
        <f t="shared" si="16"/>
        <v>46.043457732885351</v>
      </c>
      <c r="AB39" s="2">
        <f t="shared" si="16"/>
        <v>46.61544808322666</v>
      </c>
      <c r="AC39" s="2">
        <f t="shared" si="16"/>
        <v>47.201694884823787</v>
      </c>
      <c r="AD39" s="2">
        <f t="shared" si="16"/>
        <v>47.801673610868477</v>
      </c>
      <c r="AE39" s="2">
        <f t="shared" si="16"/>
        <v>48.414873747640819</v>
      </c>
      <c r="AF39" s="2">
        <f t="shared" si="17"/>
        <v>49.040799340956916</v>
      </c>
      <c r="AG39" s="3">
        <f t="shared" si="17"/>
        <v>49.678969393496885</v>
      </c>
      <c r="AH39" s="5">
        <f t="shared" si="17"/>
        <v>50.328918128646478</v>
      </c>
      <c r="AI39" s="2">
        <f t="shared" si="17"/>
        <v>50.990195135927848</v>
      </c>
      <c r="AJ39" s="2">
        <f t="shared" si="17"/>
        <v>51.662365412357957</v>
      </c>
      <c r="AK39" s="2">
        <f t="shared" si="17"/>
        <v>52.345009313209601</v>
      </c>
      <c r="AL39" s="2">
        <f t="shared" si="17"/>
        <v>53.037722424704477</v>
      </c>
      <c r="AM39" s="2">
        <f t="shared" si="17"/>
        <v>53.740115370177612</v>
      </c>
      <c r="AN39" s="2">
        <f t="shared" si="17"/>
        <v>54.451813560247928</v>
      </c>
      <c r="AO39" s="2">
        <f t="shared" si="17"/>
        <v>55.172456896534889</v>
      </c>
      <c r="AP39" s="2">
        <f t="shared" si="13"/>
        <v>55.901699437494742</v>
      </c>
      <c r="AQ39" s="2">
        <f t="shared" si="13"/>
        <v>56.639209034025185</v>
      </c>
      <c r="AR39" s="2">
        <f t="shared" si="13"/>
        <v>57.384666941614292</v>
      </c>
      <c r="AS39" s="2">
        <f t="shared" si="13"/>
        <v>58.137767414994535</v>
      </c>
      <c r="AT39" s="2">
        <f t="shared" si="13"/>
        <v>58.898217290508889</v>
      </c>
      <c r="AU39" s="2">
        <f t="shared" si="13"/>
        <v>59.665735560705194</v>
      </c>
      <c r="AV39" s="2">
        <f t="shared" si="13"/>
        <v>60.440052945046304</v>
      </c>
      <c r="AW39" s="2">
        <f t="shared" si="13"/>
        <v>61.220911460055866</v>
      </c>
      <c r="AX39" s="2">
        <f t="shared" si="13"/>
        <v>62.008063991709982</v>
      </c>
      <c r="AY39" s="2">
        <f t="shared" si="13"/>
        <v>62.801273872430329</v>
      </c>
    </row>
    <row r="40" spans="1:51" ht="15.75" thickBot="1" x14ac:dyDescent="0.3">
      <c r="A40" s="2">
        <v>39</v>
      </c>
      <c r="B40" s="2">
        <f t="shared" si="14"/>
        <v>39.012818406262319</v>
      </c>
      <c r="C40" s="2">
        <f t="shared" si="14"/>
        <v>39.05124837953327</v>
      </c>
      <c r="D40" s="2">
        <f t="shared" si="14"/>
        <v>39.11521443121589</v>
      </c>
      <c r="E40" s="2">
        <f t="shared" si="14"/>
        <v>39.204591567825318</v>
      </c>
      <c r="F40" s="2">
        <f t="shared" si="14"/>
        <v>39.319206502675002</v>
      </c>
      <c r="G40" s="2">
        <f t="shared" si="14"/>
        <v>39.45883931389772</v>
      </c>
      <c r="H40" s="3">
        <f t="shared" si="14"/>
        <v>39.623225512317902</v>
      </c>
      <c r="I40" s="4">
        <f t="shared" si="14"/>
        <v>39.812058474788763</v>
      </c>
      <c r="J40" s="4">
        <f t="shared" si="14"/>
        <v>40.024992192379003</v>
      </c>
      <c r="K40" s="4">
        <f t="shared" si="14"/>
        <v>40.26164427839479</v>
      </c>
      <c r="L40" s="13">
        <f t="shared" si="15"/>
        <v>40.521599178709621</v>
      </c>
      <c r="M40" s="2">
        <f t="shared" si="15"/>
        <v>40.80441152620633</v>
      </c>
      <c r="N40" s="2">
        <f t="shared" si="15"/>
        <v>41.109609582188931</v>
      </c>
      <c r="O40" s="2">
        <f t="shared" si="15"/>
        <v>41.43669871020132</v>
      </c>
      <c r="P40" s="2">
        <f t="shared" si="15"/>
        <v>41.785164831552358</v>
      </c>
      <c r="Q40" s="2">
        <f t="shared" si="15"/>
        <v>42.154477816715982</v>
      </c>
      <c r="R40" s="2">
        <f t="shared" si="15"/>
        <v>42.544094772365298</v>
      </c>
      <c r="S40" s="2">
        <f t="shared" si="15"/>
        <v>42.953463189829058</v>
      </c>
      <c r="T40" s="2">
        <f t="shared" si="15"/>
        <v>43.382023926967726</v>
      </c>
      <c r="U40" s="2">
        <f t="shared" si="15"/>
        <v>43.829214001622255</v>
      </c>
      <c r="V40" s="2">
        <f t="shared" si="16"/>
        <v>44.294469180700204</v>
      </c>
      <c r="W40" s="2">
        <f t="shared" si="16"/>
        <v>44.77722635447622</v>
      </c>
      <c r="X40" s="2">
        <f t="shared" si="16"/>
        <v>45.276925690687087</v>
      </c>
      <c r="Y40" s="2">
        <f t="shared" si="16"/>
        <v>45.793012567421243</v>
      </c>
      <c r="Z40" s="2">
        <f t="shared" si="16"/>
        <v>46.324939287601879</v>
      </c>
      <c r="AA40" s="2">
        <f t="shared" si="16"/>
        <v>46.872166581031863</v>
      </c>
      <c r="AB40" s="2">
        <f t="shared" si="16"/>
        <v>47.434164902525687</v>
      </c>
      <c r="AC40" s="2">
        <f t="shared" si="16"/>
        <v>48.010415536631214</v>
      </c>
      <c r="AD40" s="2">
        <f t="shared" si="16"/>
        <v>48.60041152089147</v>
      </c>
      <c r="AE40" s="2">
        <f t="shared" si="16"/>
        <v>49.203658400570177</v>
      </c>
      <c r="AF40" s="3">
        <f t="shared" si="17"/>
        <v>49.819674828324601</v>
      </c>
      <c r="AG40" s="5">
        <f t="shared" si="17"/>
        <v>50.447993022517757</v>
      </c>
      <c r="AH40" s="2">
        <f t="shared" si="17"/>
        <v>51.088159097779204</v>
      </c>
      <c r="AI40" s="2">
        <f t="shared" si="17"/>
        <v>51.739733281106119</v>
      </c>
      <c r="AJ40" s="2">
        <f t="shared" si="17"/>
        <v>52.40229002629561</v>
      </c>
      <c r="AK40" s="2">
        <f t="shared" si="17"/>
        <v>53.075418038862395</v>
      </c>
      <c r="AL40" s="2">
        <f t="shared" si="17"/>
        <v>53.758720222862451</v>
      </c>
      <c r="AM40" s="2">
        <f t="shared" si="17"/>
        <v>54.451813560247928</v>
      </c>
      <c r="AN40" s="2">
        <f t="shared" si="17"/>
        <v>55.154328932550705</v>
      </c>
      <c r="AO40" s="2">
        <f t="shared" si="17"/>
        <v>55.865910893853687</v>
      </c>
      <c r="AP40" s="2">
        <f t="shared" si="13"/>
        <v>56.586217403180434</v>
      </c>
      <c r="AQ40" s="2">
        <f t="shared" si="13"/>
        <v>57.314919523628397</v>
      </c>
      <c r="AR40" s="2">
        <f t="shared" si="13"/>
        <v>58.051701094799967</v>
      </c>
      <c r="AS40" s="2">
        <f t="shared" si="13"/>
        <v>58.796258384356399</v>
      </c>
      <c r="AT40" s="2">
        <f t="shared" si="13"/>
        <v>59.548299723837623</v>
      </c>
      <c r="AU40" s="2">
        <f t="shared" si="13"/>
        <v>60.307545133258408</v>
      </c>
      <c r="AV40" s="2">
        <f t="shared" si="13"/>
        <v>61.073725938409879</v>
      </c>
      <c r="AW40" s="2">
        <f t="shared" si="13"/>
        <v>61.846584384264908</v>
      </c>
      <c r="AX40" s="2">
        <f t="shared" si="13"/>
        <v>62.625873247404705</v>
      </c>
      <c r="AY40" s="2">
        <f t="shared" si="13"/>
        <v>63.411355449950761</v>
      </c>
    </row>
    <row r="41" spans="1:51" ht="15.75" thickBot="1" x14ac:dyDescent="0.3">
      <c r="A41" s="3">
        <v>40</v>
      </c>
      <c r="B41" s="4">
        <f t="shared" si="14"/>
        <v>40.01249804748511</v>
      </c>
      <c r="C41" s="4">
        <f t="shared" si="14"/>
        <v>40.049968789001575</v>
      </c>
      <c r="D41" s="4">
        <f t="shared" si="14"/>
        <v>40.11234224026316</v>
      </c>
      <c r="E41" s="4">
        <f t="shared" si="14"/>
        <v>40.19950248448356</v>
      </c>
      <c r="F41" s="4">
        <f t="shared" si="14"/>
        <v>40.311288741492746</v>
      </c>
      <c r="G41" s="5">
        <f t="shared" si="14"/>
        <v>40.447496832313369</v>
      </c>
      <c r="H41" s="2">
        <f t="shared" si="14"/>
        <v>40.607881008493905</v>
      </c>
      <c r="I41" s="2">
        <f t="shared" si="14"/>
        <v>40.792156108742276</v>
      </c>
      <c r="J41" s="2">
        <f t="shared" si="14"/>
        <v>41</v>
      </c>
      <c r="K41" s="2">
        <f t="shared" si="14"/>
        <v>41.231056256176608</v>
      </c>
      <c r="L41" s="15">
        <f t="shared" si="15"/>
        <v>41.484937025383083</v>
      </c>
      <c r="M41" s="2">
        <f t="shared" si="15"/>
        <v>41.761226035642203</v>
      </c>
      <c r="N41" s="2">
        <f t="shared" si="15"/>
        <v>42.059481689626182</v>
      </c>
      <c r="O41" s="2">
        <f t="shared" si="15"/>
        <v>42.379240200834182</v>
      </c>
      <c r="P41" s="2">
        <f t="shared" si="15"/>
        <v>42.720018726587654</v>
      </c>
      <c r="Q41" s="2">
        <f t="shared" si="15"/>
        <v>43.08131845707603</v>
      </c>
      <c r="R41" s="2">
        <f t="shared" si="15"/>
        <v>43.46262762420146</v>
      </c>
      <c r="S41" s="2">
        <f t="shared" si="15"/>
        <v>43.863424398922618</v>
      </c>
      <c r="T41" s="2">
        <f t="shared" si="15"/>
        <v>44.283179650969061</v>
      </c>
      <c r="U41" s="2">
        <f t="shared" si="15"/>
        <v>44.721359549995796</v>
      </c>
      <c r="V41" s="2">
        <f t="shared" si="16"/>
        <v>45.177427992306072</v>
      </c>
      <c r="W41" s="2">
        <f t="shared" si="16"/>
        <v>45.650848842053307</v>
      </c>
      <c r="X41" s="2">
        <f t="shared" si="16"/>
        <v>46.141087980237309</v>
      </c>
      <c r="Y41" s="2">
        <f t="shared" si="16"/>
        <v>46.647615158762406</v>
      </c>
      <c r="Z41" s="2">
        <f t="shared" si="16"/>
        <v>47.169905660283021</v>
      </c>
      <c r="AA41" s="2">
        <f t="shared" si="16"/>
        <v>47.707441767506253</v>
      </c>
      <c r="AB41" s="2">
        <f t="shared" si="16"/>
        <v>48.259714048054619</v>
      </c>
      <c r="AC41" s="2">
        <f t="shared" si="16"/>
        <v>48.826222462934808</v>
      </c>
      <c r="AD41" s="2">
        <f t="shared" si="16"/>
        <v>49.406477308142499</v>
      </c>
      <c r="AE41" s="6">
        <f t="shared" si="16"/>
        <v>50</v>
      </c>
      <c r="AF41" s="2">
        <f t="shared" si="17"/>
        <v>50.606323715519977</v>
      </c>
      <c r="AG41" s="2">
        <f t="shared" si="17"/>
        <v>51.224993899462788</v>
      </c>
      <c r="AH41" s="2">
        <f t="shared" si="17"/>
        <v>51.855568649856693</v>
      </c>
      <c r="AI41" s="2">
        <f t="shared" si="17"/>
        <v>52.497618993626752</v>
      </c>
      <c r="AJ41" s="2">
        <f t="shared" si="17"/>
        <v>53.150729063673246</v>
      </c>
      <c r="AK41" s="2">
        <f t="shared" si="17"/>
        <v>53.814496188294839</v>
      </c>
      <c r="AL41" s="2">
        <f t="shared" si="17"/>
        <v>54.488530903301111</v>
      </c>
      <c r="AM41" s="2">
        <f t="shared" si="17"/>
        <v>55.172456896534889</v>
      </c>
      <c r="AN41" s="2">
        <f t="shared" si="17"/>
        <v>55.865910893853687</v>
      </c>
      <c r="AO41" s="2">
        <f t="shared" si="17"/>
        <v>56.568542494923804</v>
      </c>
      <c r="AP41" s="2">
        <f t="shared" si="13"/>
        <v>57.280013966478741</v>
      </c>
      <c r="AQ41" s="2">
        <f t="shared" si="13"/>
        <v>58</v>
      </c>
      <c r="AR41" s="2">
        <f t="shared" si="13"/>
        <v>58.728187440104094</v>
      </c>
      <c r="AS41" s="2">
        <f t="shared" si="13"/>
        <v>59.464274989274024</v>
      </c>
      <c r="AT41" s="2">
        <f t="shared" si="13"/>
        <v>60.207972893961475</v>
      </c>
      <c r="AU41" s="2">
        <f t="shared" si="13"/>
        <v>60.959002616512684</v>
      </c>
      <c r="AV41" s="2">
        <f t="shared" si="13"/>
        <v>61.71709649683789</v>
      </c>
      <c r="AW41" s="2">
        <f t="shared" si="13"/>
        <v>62.481997407253232</v>
      </c>
      <c r="AX41" s="2">
        <f t="shared" si="13"/>
        <v>63.253458403473878</v>
      </c>
      <c r="AY41" s="2">
        <f t="shared" si="13"/>
        <v>64.031242374328485</v>
      </c>
    </row>
    <row r="42" spans="1:51" ht="15.75" thickBot="1" x14ac:dyDescent="0.3">
      <c r="A42" s="22">
        <v>41</v>
      </c>
      <c r="B42" s="2">
        <f t="shared" si="14"/>
        <v>41.012193308819754</v>
      </c>
      <c r="C42" s="2">
        <f t="shared" si="14"/>
        <v>41.048751503547585</v>
      </c>
      <c r="D42" s="2">
        <f t="shared" si="14"/>
        <v>41.109609582188931</v>
      </c>
      <c r="E42" s="2">
        <f t="shared" si="14"/>
        <v>41.194659848091959</v>
      </c>
      <c r="F42" s="2">
        <f t="shared" si="14"/>
        <v>41.303752856126764</v>
      </c>
      <c r="G42" s="22">
        <f t="shared" si="14"/>
        <v>41.43669871020132</v>
      </c>
      <c r="H42" s="22">
        <f t="shared" si="14"/>
        <v>41.593268686170845</v>
      </c>
      <c r="I42" s="2">
        <f t="shared" si="14"/>
        <v>41.773197148410844</v>
      </c>
      <c r="J42" s="2">
        <f t="shared" si="14"/>
        <v>41.976183723630712</v>
      </c>
      <c r="K42" s="22">
        <f t="shared" si="14"/>
        <v>42.201895692018383</v>
      </c>
      <c r="L42" s="22">
        <f t="shared" si="15"/>
        <v>42.449970553582247</v>
      </c>
      <c r="M42" s="2">
        <f t="shared" si="15"/>
        <v>42.720018726587654</v>
      </c>
      <c r="N42" s="22">
        <f t="shared" si="15"/>
        <v>43.011626335213137</v>
      </c>
      <c r="O42" s="22">
        <f t="shared" si="15"/>
        <v>43.324358044868937</v>
      </c>
      <c r="P42" s="22">
        <f t="shared" si="15"/>
        <v>43.657759905886145</v>
      </c>
      <c r="Q42" s="22">
        <f t="shared" si="15"/>
        <v>44.011362169330773</v>
      </c>
      <c r="R42" s="22">
        <f t="shared" si="15"/>
        <v>44.384682042344295</v>
      </c>
      <c r="S42" s="22">
        <f t="shared" si="15"/>
        <v>44.77722635447622</v>
      </c>
      <c r="T42" s="22">
        <f t="shared" si="15"/>
        <v>45.188494110780013</v>
      </c>
      <c r="U42" s="2">
        <f t="shared" si="15"/>
        <v>45.617978911828175</v>
      </c>
      <c r="V42" s="2">
        <f t="shared" si="16"/>
        <v>46.065171225124082</v>
      </c>
      <c r="W42" s="2">
        <f t="shared" si="16"/>
        <v>46.529560496527367</v>
      </c>
      <c r="X42" s="2">
        <f t="shared" si="16"/>
        <v>47.010637094172637</v>
      </c>
      <c r="Y42" s="2">
        <f t="shared" si="16"/>
        <v>47.507894080878813</v>
      </c>
      <c r="Z42" s="2">
        <f t="shared" si="16"/>
        <v>48.020828814171878</v>
      </c>
      <c r="AA42" s="2">
        <f t="shared" si="16"/>
        <v>48.548944375753422</v>
      </c>
      <c r="AB42" s="2">
        <f t="shared" si="16"/>
        <v>49.091750834534309</v>
      </c>
      <c r="AC42" s="3">
        <f t="shared" si="16"/>
        <v>49.648766349225639</v>
      </c>
      <c r="AD42" s="5">
        <f t="shared" si="16"/>
        <v>50.219518117958877</v>
      </c>
      <c r="AE42" s="2">
        <f t="shared" si="16"/>
        <v>50.803543183522152</v>
      </c>
      <c r="AF42" s="2">
        <f t="shared" si="17"/>
        <v>51.400389103585589</v>
      </c>
      <c r="AG42" s="2">
        <f t="shared" si="17"/>
        <v>52.009614495783374</v>
      </c>
      <c r="AH42" s="2">
        <f t="shared" si="17"/>
        <v>52.630789467763066</v>
      </c>
      <c r="AI42" s="2">
        <f t="shared" si="17"/>
        <v>53.263495942343098</v>
      </c>
      <c r="AJ42" s="2">
        <f t="shared" si="17"/>
        <v>53.907327887774215</v>
      </c>
      <c r="AK42" s="2">
        <f t="shared" si="17"/>
        <v>54.561891462814962</v>
      </c>
      <c r="AL42" s="2">
        <f t="shared" si="17"/>
        <v>55.226805085936306</v>
      </c>
      <c r="AM42" s="2">
        <f t="shared" si="17"/>
        <v>55.901699437494742</v>
      </c>
      <c r="AN42" s="2">
        <f t="shared" si="17"/>
        <v>56.586217403180434</v>
      </c>
      <c r="AO42" s="2">
        <f t="shared" si="17"/>
        <v>57.280013966478741</v>
      </c>
      <c r="AP42" s="2">
        <f t="shared" si="13"/>
        <v>57.982756057296896</v>
      </c>
      <c r="AQ42" s="2">
        <f t="shared" si="13"/>
        <v>58.694122363316758</v>
      </c>
      <c r="AR42" s="2">
        <f t="shared" si="13"/>
        <v>59.413803110051795</v>
      </c>
      <c r="AS42" s="2">
        <f t="shared" si="13"/>
        <v>60.141499815019579</v>
      </c>
      <c r="AT42" s="2">
        <f t="shared" si="13"/>
        <v>60.876925020897694</v>
      </c>
      <c r="AU42" s="2">
        <f t="shared" si="13"/>
        <v>61.619802012015583</v>
      </c>
      <c r="AV42" s="2">
        <f t="shared" si="13"/>
        <v>62.369864518050704</v>
      </c>
      <c r="AW42" s="2">
        <f t="shared" si="13"/>
        <v>63.126856408346519</v>
      </c>
      <c r="AX42" s="2">
        <f t="shared" si="13"/>
        <v>63.890531379853151</v>
      </c>
      <c r="AY42" s="2">
        <f t="shared" si="13"/>
        <v>64.660652641308843</v>
      </c>
    </row>
    <row r="43" spans="1:51" ht="15.75" thickBot="1" x14ac:dyDescent="0.3">
      <c r="A43" s="22">
        <v>42</v>
      </c>
      <c r="B43" s="2">
        <f t="shared" si="14"/>
        <v>42.01190307520001</v>
      </c>
      <c r="C43" s="2">
        <f t="shared" si="14"/>
        <v>42.047592083257278</v>
      </c>
      <c r="D43" s="2">
        <f t="shared" si="14"/>
        <v>42.107006542854599</v>
      </c>
      <c r="E43" s="2">
        <f t="shared" si="14"/>
        <v>42.190046219457976</v>
      </c>
      <c r="F43" s="2">
        <f t="shared" si="14"/>
        <v>42.296571965113202</v>
      </c>
      <c r="G43" s="22">
        <f t="shared" si="14"/>
        <v>42.426406871192853</v>
      </c>
      <c r="H43" s="22">
        <f t="shared" si="14"/>
        <v>42.579337712087536</v>
      </c>
      <c r="I43" s="2">
        <f t="shared" si="14"/>
        <v>42.755116652863897</v>
      </c>
      <c r="J43" s="2">
        <f t="shared" si="14"/>
        <v>42.953463189829058</v>
      </c>
      <c r="K43" s="22">
        <f t="shared" si="14"/>
        <v>43.174066289845804</v>
      </c>
      <c r="L43" s="22">
        <f t="shared" si="15"/>
        <v>43.416586692184822</v>
      </c>
      <c r="M43" s="2">
        <f t="shared" si="15"/>
        <v>43.68065933568311</v>
      </c>
      <c r="N43" s="22">
        <f t="shared" si="15"/>
        <v>43.965895873961216</v>
      </c>
      <c r="O43" s="22">
        <f t="shared" si="15"/>
        <v>44.271887242357309</v>
      </c>
      <c r="P43" s="22">
        <f t="shared" si="15"/>
        <v>44.598206241955516</v>
      </c>
      <c r="Q43" s="22">
        <f t="shared" si="15"/>
        <v>44.944410108488462</v>
      </c>
      <c r="R43" s="22">
        <f t="shared" si="15"/>
        <v>45.310043036836767</v>
      </c>
      <c r="S43" s="22">
        <f t="shared" si="15"/>
        <v>45.694638635183452</v>
      </c>
      <c r="T43" s="22">
        <f t="shared" si="15"/>
        <v>46.097722286464439</v>
      </c>
      <c r="U43" s="2">
        <f t="shared" si="15"/>
        <v>46.518813398452032</v>
      </c>
      <c r="V43" s="2">
        <f t="shared" si="16"/>
        <v>46.957427527495582</v>
      </c>
      <c r="W43" s="2">
        <f t="shared" si="16"/>
        <v>47.413078364518789</v>
      </c>
      <c r="X43" s="2">
        <f t="shared" si="16"/>
        <v>47.885279575251516</v>
      </c>
      <c r="Y43" s="2">
        <f t="shared" si="16"/>
        <v>48.373546489791295</v>
      </c>
      <c r="Z43" s="2">
        <f t="shared" si="16"/>
        <v>48.877397639399746</v>
      </c>
      <c r="AA43" s="2">
        <f t="shared" si="16"/>
        <v>49.396356140913873</v>
      </c>
      <c r="AB43" s="3">
        <f t="shared" si="16"/>
        <v>49.929950931279713</v>
      </c>
      <c r="AC43" s="5">
        <f t="shared" si="16"/>
        <v>50.47771785649585</v>
      </c>
      <c r="AD43" s="2">
        <f t="shared" si="16"/>
        <v>51.039200620699383</v>
      </c>
      <c r="AE43" s="2">
        <f t="shared" si="16"/>
        <v>51.61395160225576</v>
      </c>
      <c r="AF43" s="2">
        <f t="shared" si="17"/>
        <v>52.201532544552748</v>
      </c>
      <c r="AG43" s="2">
        <f t="shared" si="17"/>
        <v>52.801515129776341</v>
      </c>
      <c r="AH43" s="2">
        <f t="shared" si="17"/>
        <v>53.413481444294568</v>
      </c>
      <c r="AI43" s="2">
        <f t="shared" si="17"/>
        <v>54.037024344425184</v>
      </c>
      <c r="AJ43" s="2">
        <f t="shared" si="17"/>
        <v>54.671747731346578</v>
      </c>
      <c r="AK43" s="2">
        <f t="shared" si="17"/>
        <v>55.317266743757322</v>
      </c>
      <c r="AL43" s="2">
        <f t="shared" si="17"/>
        <v>55.97320787662612</v>
      </c>
      <c r="AM43" s="2">
        <f t="shared" si="17"/>
        <v>56.639209034025185</v>
      </c>
      <c r="AN43" s="2">
        <f t="shared" si="17"/>
        <v>57.314919523628397</v>
      </c>
      <c r="AO43" s="2">
        <f t="shared" si="17"/>
        <v>58</v>
      </c>
      <c r="AP43" s="2">
        <f t="shared" si="13"/>
        <v>58.694122363316758</v>
      </c>
      <c r="AQ43" s="2">
        <f t="shared" si="13"/>
        <v>59.396969619669989</v>
      </c>
      <c r="AR43" s="2">
        <f t="shared" si="13"/>
        <v>60.108235708594876</v>
      </c>
      <c r="AS43" s="2">
        <f t="shared" si="13"/>
        <v>60.827625302982199</v>
      </c>
      <c r="AT43" s="2">
        <f t="shared" si="13"/>
        <v>61.554853586049575</v>
      </c>
      <c r="AU43" s="2">
        <f t="shared" si="13"/>
        <v>62.289646009589745</v>
      </c>
      <c r="AV43" s="2">
        <f t="shared" si="13"/>
        <v>63.031738037277698</v>
      </c>
      <c r="AW43" s="2">
        <f t="shared" si="13"/>
        <v>63.7808748764079</v>
      </c>
      <c r="AX43" s="2">
        <f t="shared" si="13"/>
        <v>64.536811201050213</v>
      </c>
      <c r="AY43" s="2">
        <f t="shared" si="13"/>
        <v>65.299310869258036</v>
      </c>
    </row>
    <row r="44" spans="1:51" ht="15.75" thickBot="1" x14ac:dyDescent="0.3">
      <c r="A44" s="22">
        <v>43</v>
      </c>
      <c r="B44" s="2">
        <f t="shared" si="14"/>
        <v>43.011626335213137</v>
      </c>
      <c r="C44" s="2">
        <f t="shared" si="14"/>
        <v>43.046486500061768</v>
      </c>
      <c r="D44" s="2">
        <f t="shared" si="14"/>
        <v>43.104524124504614</v>
      </c>
      <c r="E44" s="2">
        <f t="shared" si="14"/>
        <v>43.185645763378368</v>
      </c>
      <c r="F44" s="2">
        <f t="shared" si="14"/>
        <v>43.289721643826724</v>
      </c>
      <c r="G44" s="22">
        <f t="shared" si="14"/>
        <v>43.416586692184822</v>
      </c>
      <c r="H44" s="22">
        <f t="shared" si="14"/>
        <v>43.56604182158393</v>
      </c>
      <c r="I44" s="2">
        <f t="shared" si="14"/>
        <v>43.737855457258078</v>
      </c>
      <c r="J44" s="2">
        <f t="shared" si="14"/>
        <v>43.931765272977593</v>
      </c>
      <c r="K44" s="22">
        <f t="shared" si="14"/>
        <v>44.147480109288232</v>
      </c>
      <c r="L44" s="22">
        <f t="shared" si="15"/>
        <v>44.384682042344295</v>
      </c>
      <c r="M44" s="2">
        <f t="shared" si="15"/>
        <v>44.643028571099428</v>
      </c>
      <c r="N44" s="22">
        <f t="shared" si="15"/>
        <v>44.922154890432402</v>
      </c>
      <c r="O44" s="22">
        <f t="shared" si="15"/>
        <v>45.221676218380054</v>
      </c>
      <c r="P44" s="22">
        <f t="shared" si="15"/>
        <v>45.541190146942803</v>
      </c>
      <c r="Q44" s="22">
        <f t="shared" si="15"/>
        <v>45.880278987817846</v>
      </c>
      <c r="R44" s="22">
        <f t="shared" si="15"/>
        <v>46.238512086787566</v>
      </c>
      <c r="S44" s="22">
        <f t="shared" si="15"/>
        <v>46.61544808322666</v>
      </c>
      <c r="T44" s="22">
        <f t="shared" si="15"/>
        <v>47.010637094172637</v>
      </c>
      <c r="U44" s="2">
        <f t="shared" si="15"/>
        <v>47.423622805517503</v>
      </c>
      <c r="V44" s="2">
        <f t="shared" si="16"/>
        <v>47.853944456021594</v>
      </c>
      <c r="W44" s="2">
        <f t="shared" si="16"/>
        <v>48.301138702933287</v>
      </c>
      <c r="X44" s="2">
        <f t="shared" si="16"/>
        <v>48.764741360946438</v>
      </c>
      <c r="Y44" s="2">
        <f t="shared" si="16"/>
        <v>49.244289008980523</v>
      </c>
      <c r="Z44" s="3">
        <f t="shared" si="16"/>
        <v>49.739320461783549</v>
      </c>
      <c r="AA44" s="5">
        <f t="shared" si="16"/>
        <v>50.24937810560445</v>
      </c>
      <c r="AB44" s="2">
        <f t="shared" si="16"/>
        <v>50.774009099144415</v>
      </c>
      <c r="AC44" s="2">
        <f t="shared" si="16"/>
        <v>51.312766442669997</v>
      </c>
      <c r="AD44" s="2">
        <f t="shared" si="16"/>
        <v>51.86520991955976</v>
      </c>
      <c r="AE44" s="2">
        <f t="shared" si="16"/>
        <v>52.430906915673319</v>
      </c>
      <c r="AF44" s="2">
        <f t="shared" si="17"/>
        <v>53.009433122794285</v>
      </c>
      <c r="AG44" s="2">
        <f t="shared" si="17"/>
        <v>53.600373133029585</v>
      </c>
      <c r="AH44" s="2">
        <f t="shared" si="17"/>
        <v>54.203320931470607</v>
      </c>
      <c r="AI44" s="2">
        <f t="shared" si="17"/>
        <v>54.817880294662984</v>
      </c>
      <c r="AJ44" s="2">
        <f t="shared" si="17"/>
        <v>55.443665102516448</v>
      </c>
      <c r="AK44" s="2">
        <f t="shared" si="17"/>
        <v>56.080299571239813</v>
      </c>
      <c r="AL44" s="2">
        <f t="shared" si="17"/>
        <v>56.727418414731339</v>
      </c>
      <c r="AM44" s="2">
        <f t="shared" si="17"/>
        <v>57.384666941614292</v>
      </c>
      <c r="AN44" s="2">
        <f t="shared" si="17"/>
        <v>58.051701094799967</v>
      </c>
      <c r="AO44" s="2">
        <f t="shared" si="17"/>
        <v>58.728187440104094</v>
      </c>
      <c r="AP44" s="2">
        <f t="shared" si="13"/>
        <v>59.413803110051795</v>
      </c>
      <c r="AQ44" s="2">
        <f t="shared" si="13"/>
        <v>60.108235708594876</v>
      </c>
      <c r="AR44" s="2">
        <f t="shared" si="13"/>
        <v>60.811183182043088</v>
      </c>
      <c r="AS44" s="2">
        <f t="shared" si="13"/>
        <v>61.522353661088097</v>
      </c>
      <c r="AT44" s="2">
        <f t="shared" si="13"/>
        <v>62.241465278381739</v>
      </c>
      <c r="AU44" s="2">
        <f t="shared" si="13"/>
        <v>62.968245965724662</v>
      </c>
      <c r="AV44" s="2">
        <f t="shared" si="13"/>
        <v>63.702433234531945</v>
      </c>
      <c r="AW44" s="2">
        <f t="shared" si="13"/>
        <v>64.443773942872099</v>
      </c>
      <c r="AX44" s="2">
        <f t="shared" si="13"/>
        <v>65.192024052026483</v>
      </c>
      <c r="AY44" s="2">
        <f t="shared" si="13"/>
        <v>65.946948375190189</v>
      </c>
    </row>
    <row r="45" spans="1:51" ht="15.75" thickBot="1" x14ac:dyDescent="0.3">
      <c r="A45" s="22">
        <v>44</v>
      </c>
      <c r="B45" s="2">
        <f t="shared" si="14"/>
        <v>44.011362169330773</v>
      </c>
      <c r="C45" s="2">
        <f t="shared" si="14"/>
        <v>44.045431091090478</v>
      </c>
      <c r="D45" s="2">
        <f t="shared" si="14"/>
        <v>44.10215414239989</v>
      </c>
      <c r="E45" s="2">
        <f t="shared" si="14"/>
        <v>44.181444068749045</v>
      </c>
      <c r="F45" s="2">
        <f t="shared" si="14"/>
        <v>44.283179650969061</v>
      </c>
      <c r="G45" s="22">
        <f t="shared" si="14"/>
        <v>44.407206622349037</v>
      </c>
      <c r="H45" s="22">
        <f t="shared" si="14"/>
        <v>44.553338819890925</v>
      </c>
      <c r="I45" s="2">
        <f t="shared" si="14"/>
        <v>44.721359549995796</v>
      </c>
      <c r="J45" s="2">
        <f t="shared" si="14"/>
        <v>44.911023145771239</v>
      </c>
      <c r="K45" s="22">
        <f t="shared" si="14"/>
        <v>45.122056690713912</v>
      </c>
      <c r="L45" s="22">
        <f t="shared" si="15"/>
        <v>45.354161881794269</v>
      </c>
      <c r="M45" s="2">
        <f t="shared" si="15"/>
        <v>45.607017003965517</v>
      </c>
      <c r="N45" s="22">
        <f t="shared" si="15"/>
        <v>45.880278987817846</v>
      </c>
      <c r="O45" s="22">
        <f t="shared" si="15"/>
        <v>46.173585522460783</v>
      </c>
      <c r="P45" s="22">
        <f t="shared" si="15"/>
        <v>46.486557196677836</v>
      </c>
      <c r="Q45" s="22">
        <f t="shared" si="15"/>
        <v>46.818799642878503</v>
      </c>
      <c r="R45" s="22">
        <f t="shared" si="15"/>
        <v>47.169905660283021</v>
      </c>
      <c r="S45" s="22">
        <f t="shared" si="15"/>
        <v>47.539457296018853</v>
      </c>
      <c r="T45" s="22">
        <f t="shared" si="15"/>
        <v>47.927027865287037</v>
      </c>
      <c r="U45" s="2">
        <f t="shared" si="15"/>
        <v>48.332183894378289</v>
      </c>
      <c r="V45" s="2">
        <f t="shared" si="16"/>
        <v>48.754486972995622</v>
      </c>
      <c r="W45" s="2">
        <f t="shared" si="16"/>
        <v>49.193495504995376</v>
      </c>
      <c r="X45" s="3">
        <f t="shared" si="16"/>
        <v>49.648766349225639</v>
      </c>
      <c r="Y45" s="5">
        <f t="shared" si="16"/>
        <v>50.119856344566671</v>
      </c>
      <c r="Z45" s="2">
        <f t="shared" si="16"/>
        <v>50.606323715519977</v>
      </c>
      <c r="AA45" s="2">
        <f t="shared" si="16"/>
        <v>51.107729356722551</v>
      </c>
      <c r="AB45" s="2">
        <f t="shared" si="16"/>
        <v>51.623637996561229</v>
      </c>
      <c r="AC45" s="2">
        <f t="shared" si="16"/>
        <v>52.153619241621193</v>
      </c>
      <c r="AD45" s="2">
        <f t="shared" si="16"/>
        <v>52.697248505021591</v>
      </c>
      <c r="AE45" s="2">
        <f t="shared" si="16"/>
        <v>53.254107822777392</v>
      </c>
      <c r="AF45" s="2">
        <f t="shared" si="17"/>
        <v>53.823786563191554</v>
      </c>
      <c r="AG45" s="2">
        <f t="shared" si="17"/>
        <v>54.405882034941776</v>
      </c>
      <c r="AH45" s="2">
        <f t="shared" si="17"/>
        <v>55</v>
      </c>
      <c r="AI45" s="2">
        <f t="shared" si="17"/>
        <v>55.605755097831377</v>
      </c>
      <c r="AJ45" s="2">
        <f t="shared" si="17"/>
        <v>56.222771187482387</v>
      </c>
      <c r="AK45" s="2">
        <f t="shared" si="17"/>
        <v>56.850681614207581</v>
      </c>
      <c r="AL45" s="2">
        <f t="shared" si="17"/>
        <v>57.489129407219238</v>
      </c>
      <c r="AM45" s="2">
        <f t="shared" si="17"/>
        <v>58.137767414994535</v>
      </c>
      <c r="AN45" s="2">
        <f t="shared" si="17"/>
        <v>58.796258384356399</v>
      </c>
      <c r="AO45" s="2">
        <f t="shared" si="17"/>
        <v>59.464274989274024</v>
      </c>
      <c r="AP45" s="2">
        <f t="shared" si="13"/>
        <v>60.141499815019579</v>
      </c>
      <c r="AQ45" s="2">
        <f t="shared" si="13"/>
        <v>60.827625302982199</v>
      </c>
      <c r="AR45" s="2">
        <f t="shared" si="13"/>
        <v>61.522353661088097</v>
      </c>
      <c r="AS45" s="2">
        <f t="shared" si="13"/>
        <v>62.22539674441618</v>
      </c>
      <c r="AT45" s="2">
        <f t="shared" si="13"/>
        <v>62.936475910238251</v>
      </c>
      <c r="AU45" s="2">
        <f t="shared" si="13"/>
        <v>63.655321851358195</v>
      </c>
      <c r="AV45" s="2">
        <f t="shared" si="13"/>
        <v>64.381674411279491</v>
      </c>
      <c r="AW45" s="2">
        <f t="shared" si="13"/>
        <v>65.115282384398824</v>
      </c>
      <c r="AX45" s="2">
        <f t="shared" si="13"/>
        <v>65.855903304107827</v>
      </c>
      <c r="AY45" s="2">
        <f t="shared" si="13"/>
        <v>66.603303221386852</v>
      </c>
    </row>
    <row r="46" spans="1:51" ht="15.75" thickBot="1" x14ac:dyDescent="0.3">
      <c r="A46" s="22">
        <v>45</v>
      </c>
      <c r="B46" s="2">
        <f t="shared" si="14"/>
        <v>45.011109739707599</v>
      </c>
      <c r="C46" s="2">
        <f t="shared" si="14"/>
        <v>45.044422518220834</v>
      </c>
      <c r="D46" s="2">
        <f t="shared" si="14"/>
        <v>45.099889135118723</v>
      </c>
      <c r="E46" s="2">
        <f t="shared" si="14"/>
        <v>45.177427992306072</v>
      </c>
      <c r="F46" s="2">
        <f t="shared" si="14"/>
        <v>45.276925690687087</v>
      </c>
      <c r="G46" s="22">
        <f t="shared" si="14"/>
        <v>45.398237851264668</v>
      </c>
      <c r="H46" s="22">
        <f t="shared" si="14"/>
        <v>45.541190146942803</v>
      </c>
      <c r="I46" s="2">
        <f t="shared" si="14"/>
        <v>45.705579528105758</v>
      </c>
      <c r="J46" s="2">
        <f t="shared" si="14"/>
        <v>45.891175622335062</v>
      </c>
      <c r="K46" s="22">
        <f t="shared" si="14"/>
        <v>46.097722286464439</v>
      </c>
      <c r="L46" s="22">
        <f t="shared" si="15"/>
        <v>46.324939287601879</v>
      </c>
      <c r="M46" s="2">
        <f t="shared" si="15"/>
        <v>46.572524088780071</v>
      </c>
      <c r="N46" s="22">
        <f t="shared" si="15"/>
        <v>46.840153714521477</v>
      </c>
      <c r="O46" s="22">
        <f t="shared" si="15"/>
        <v>47.127486671792717</v>
      </c>
      <c r="P46" s="22">
        <f t="shared" si="15"/>
        <v>47.434164902525687</v>
      </c>
      <c r="Q46" s="22">
        <f t="shared" si="15"/>
        <v>47.75981574503821</v>
      </c>
      <c r="R46" s="22">
        <f t="shared" si="15"/>
        <v>48.104053883222775</v>
      </c>
      <c r="S46" s="22">
        <f t="shared" si="15"/>
        <v>48.466483264210538</v>
      </c>
      <c r="T46" s="22">
        <f t="shared" si="15"/>
        <v>48.846698967279252</v>
      </c>
      <c r="U46" s="2">
        <f t="shared" si="15"/>
        <v>49.244289008980523</v>
      </c>
      <c r="V46" s="3">
        <f t="shared" si="16"/>
        <v>49.658836071740545</v>
      </c>
      <c r="W46" s="5">
        <f t="shared" si="16"/>
        <v>50.089919145472777</v>
      </c>
      <c r="X46" s="2">
        <f t="shared" si="16"/>
        <v>50.537115073973112</v>
      </c>
      <c r="Y46" s="2">
        <f t="shared" si="16"/>
        <v>51</v>
      </c>
      <c r="Z46" s="2">
        <f t="shared" si="16"/>
        <v>51.478150704935004</v>
      </c>
      <c r="AA46" s="2">
        <f t="shared" si="16"/>
        <v>51.97114584074513</v>
      </c>
      <c r="AB46" s="2">
        <f t="shared" si="16"/>
        <v>52.478567053607705</v>
      </c>
      <c r="AC46" s="2">
        <f t="shared" si="16"/>
        <v>53</v>
      </c>
      <c r="AD46" s="2">
        <f t="shared" si="16"/>
        <v>53.535035257296691</v>
      </c>
      <c r="AE46" s="2">
        <f t="shared" si="16"/>
        <v>54.083269131959838</v>
      </c>
      <c r="AF46" s="2">
        <f t="shared" si="17"/>
        <v>54.644304369257</v>
      </c>
      <c r="AG46" s="2">
        <f t="shared" si="17"/>
        <v>55.21775076911409</v>
      </c>
      <c r="AH46" s="2">
        <f t="shared" si="17"/>
        <v>55.803225713214822</v>
      </c>
      <c r="AI46" s="2">
        <f t="shared" si="17"/>
        <v>56.400354608814297</v>
      </c>
      <c r="AJ46" s="2">
        <f t="shared" si="17"/>
        <v>57.008771254956898</v>
      </c>
      <c r="AK46" s="2">
        <f t="shared" si="17"/>
        <v>57.628118136895637</v>
      </c>
      <c r="AL46" s="2">
        <f t="shared" si="17"/>
        <v>58.258046654518033</v>
      </c>
      <c r="AM46" s="2">
        <f t="shared" si="17"/>
        <v>58.898217290508889</v>
      </c>
      <c r="AN46" s="2">
        <f t="shared" si="17"/>
        <v>59.548299723837623</v>
      </c>
      <c r="AO46" s="2">
        <f t="shared" si="17"/>
        <v>60.207972893961475</v>
      </c>
      <c r="AP46" s="2">
        <f t="shared" si="13"/>
        <v>60.876925020897694</v>
      </c>
      <c r="AQ46" s="2">
        <f t="shared" si="13"/>
        <v>61.554853586049575</v>
      </c>
      <c r="AR46" s="2">
        <f t="shared" si="13"/>
        <v>62.241465278381739</v>
      </c>
      <c r="AS46" s="2">
        <f t="shared" si="13"/>
        <v>62.936475910238251</v>
      </c>
      <c r="AT46" s="2">
        <f t="shared" si="13"/>
        <v>63.63961030678928</v>
      </c>
      <c r="AU46" s="2">
        <f t="shared" si="13"/>
        <v>64.350602172784676</v>
      </c>
      <c r="AV46" s="2">
        <f t="shared" si="13"/>
        <v>65.069193939989759</v>
      </c>
      <c r="AW46" s="2">
        <f t="shared" si="13"/>
        <v>65.79513659838392</v>
      </c>
      <c r="AX46" s="2">
        <f t="shared" si="13"/>
        <v>66.528189513919585</v>
      </c>
      <c r="AY46" s="2">
        <f t="shared" si="13"/>
        <v>67.268120235368556</v>
      </c>
    </row>
    <row r="47" spans="1:51" ht="15.75" thickBot="1" x14ac:dyDescent="0.3">
      <c r="A47" s="22">
        <v>46</v>
      </c>
      <c r="B47" s="2">
        <f t="shared" si="14"/>
        <v>46.010868281309364</v>
      </c>
      <c r="C47" s="2">
        <f t="shared" si="14"/>
        <v>46.043457732885351</v>
      </c>
      <c r="D47" s="2">
        <f t="shared" si="14"/>
        <v>46.097722286464439</v>
      </c>
      <c r="E47" s="2">
        <f t="shared" si="14"/>
        <v>46.173585522460783</v>
      </c>
      <c r="F47" s="2">
        <f t="shared" si="14"/>
        <v>46.270941205037097</v>
      </c>
      <c r="G47" s="22">
        <f t="shared" si="14"/>
        <v>46.389654018972806</v>
      </c>
      <c r="H47" s="22">
        <f t="shared" si="14"/>
        <v>46.529560496527367</v>
      </c>
      <c r="I47" s="2">
        <f t="shared" si="14"/>
        <v>46.690470119715009</v>
      </c>
      <c r="J47" s="2">
        <f t="shared" si="14"/>
        <v>46.872166581031863</v>
      </c>
      <c r="K47" s="22">
        <f t="shared" si="14"/>
        <v>47.074409183759279</v>
      </c>
      <c r="L47" s="22">
        <f t="shared" si="15"/>
        <v>47.296934361541872</v>
      </c>
      <c r="M47" s="2">
        <f t="shared" si="15"/>
        <v>47.539457296018853</v>
      </c>
      <c r="N47" s="22">
        <f t="shared" si="15"/>
        <v>47.801673610868477</v>
      </c>
      <c r="O47" s="22">
        <f t="shared" si="15"/>
        <v>48.083261120685229</v>
      </c>
      <c r="P47" s="22">
        <f t="shared" si="15"/>
        <v>48.383881613611777</v>
      </c>
      <c r="Q47" s="22">
        <f t="shared" si="15"/>
        <v>48.703182647543684</v>
      </c>
      <c r="R47" s="22">
        <f t="shared" si="15"/>
        <v>49.040799340956916</v>
      </c>
      <c r="S47" s="22">
        <f t="shared" si="15"/>
        <v>49.396356140913873</v>
      </c>
      <c r="T47" s="3">
        <f t="shared" si="15"/>
        <v>49.769468552517218</v>
      </c>
      <c r="U47" s="5">
        <f t="shared" si="15"/>
        <v>50.159744815937813</v>
      </c>
      <c r="V47" s="2">
        <f t="shared" si="16"/>
        <v>50.566787519082126</v>
      </c>
      <c r="W47" s="2">
        <f t="shared" si="16"/>
        <v>50.990195135927848</v>
      </c>
      <c r="X47" s="2">
        <f t="shared" si="16"/>
        <v>51.429563482495162</v>
      </c>
      <c r="Y47" s="2">
        <f t="shared" si="16"/>
        <v>51.884487084291386</v>
      </c>
      <c r="Z47" s="2">
        <f t="shared" si="16"/>
        <v>52.354560450833695</v>
      </c>
      <c r="AA47" s="2">
        <f t="shared" si="16"/>
        <v>52.839379254491625</v>
      </c>
      <c r="AB47" s="2">
        <f t="shared" si="16"/>
        <v>53.338541412378348</v>
      </c>
      <c r="AC47" s="2">
        <f t="shared" si="16"/>
        <v>53.851648071345039</v>
      </c>
      <c r="AD47" s="2">
        <f t="shared" si="16"/>
        <v>54.378304497290095</v>
      </c>
      <c r="AE47" s="2">
        <f t="shared" si="16"/>
        <v>54.918120870983927</v>
      </c>
      <c r="AF47" s="2">
        <f t="shared" si="17"/>
        <v>55.470712993434653</v>
      </c>
      <c r="AG47" s="2">
        <f t="shared" si="17"/>
        <v>56.0357029044876</v>
      </c>
      <c r="AH47" s="2">
        <f t="shared" si="17"/>
        <v>56.612719418872643</v>
      </c>
      <c r="AI47" s="2">
        <f t="shared" si="17"/>
        <v>57.201398584300364</v>
      </c>
      <c r="AJ47" s="2">
        <f t="shared" si="17"/>
        <v>57.801384066473702</v>
      </c>
      <c r="AK47" s="2">
        <f t="shared" si="17"/>
        <v>58.412327466040935</v>
      </c>
      <c r="AL47" s="2">
        <f t="shared" si="17"/>
        <v>59.033888572581766</v>
      </c>
      <c r="AM47" s="2">
        <f t="shared" si="17"/>
        <v>59.665735560705194</v>
      </c>
      <c r="AN47" s="2">
        <f t="shared" si="17"/>
        <v>60.307545133258408</v>
      </c>
      <c r="AO47" s="2">
        <f t="shared" si="17"/>
        <v>60.959002616512684</v>
      </c>
      <c r="AP47" s="2">
        <f t="shared" si="13"/>
        <v>61.619802012015583</v>
      </c>
      <c r="AQ47" s="2">
        <f t="shared" si="13"/>
        <v>62.289646009589745</v>
      </c>
      <c r="AR47" s="2">
        <f t="shared" si="13"/>
        <v>62.968245965724662</v>
      </c>
      <c r="AS47" s="2">
        <f t="shared" si="13"/>
        <v>63.655321851358195</v>
      </c>
      <c r="AT47" s="2">
        <f t="shared" si="13"/>
        <v>64.350602172784676</v>
      </c>
      <c r="AU47" s="2">
        <f t="shared" si="13"/>
        <v>65.053823869162372</v>
      </c>
      <c r="AV47" s="2">
        <f t="shared" si="13"/>
        <v>65.76473218982953</v>
      </c>
      <c r="AW47" s="2">
        <f t="shared" si="13"/>
        <v>66.483080554378645</v>
      </c>
      <c r="AX47" s="2">
        <f t="shared" si="13"/>
        <v>67.208630398186216</v>
      </c>
      <c r="AY47" s="2">
        <f t="shared" si="13"/>
        <v>67.94115100585212</v>
      </c>
    </row>
    <row r="48" spans="1:51" ht="15.75" thickBot="1" x14ac:dyDescent="0.3">
      <c r="A48" s="22">
        <v>47</v>
      </c>
      <c r="B48" s="2">
        <f t="shared" ref="B48:Q51" si="18">SQRT($A48^2+B$1^2)</f>
        <v>47.010637094172637</v>
      </c>
      <c r="C48" s="2">
        <f t="shared" si="18"/>
        <v>47.042533945356304</v>
      </c>
      <c r="D48" s="2">
        <f t="shared" si="18"/>
        <v>47.095647357266465</v>
      </c>
      <c r="E48" s="2">
        <f t="shared" si="18"/>
        <v>47.169905660283021</v>
      </c>
      <c r="F48" s="2">
        <f t="shared" si="18"/>
        <v>47.265209192385896</v>
      </c>
      <c r="G48" s="22">
        <f t="shared" si="18"/>
        <v>47.381430961928537</v>
      </c>
      <c r="H48" s="22">
        <f t="shared" si="18"/>
        <v>47.518417482066887</v>
      </c>
      <c r="I48" s="2">
        <f t="shared" si="18"/>
        <v>47.675989764240867</v>
      </c>
      <c r="J48" s="2">
        <f t="shared" si="18"/>
        <v>47.853944456021594</v>
      </c>
      <c r="K48" s="22">
        <f t="shared" si="18"/>
        <v>48.052055106935853</v>
      </c>
      <c r="L48" s="22">
        <f t="shared" si="18"/>
        <v>48.270073544588683</v>
      </c>
      <c r="M48" s="2">
        <f t="shared" si="18"/>
        <v>48.507731342539614</v>
      </c>
      <c r="N48" s="22">
        <f t="shared" si="18"/>
        <v>48.764741360946438</v>
      </c>
      <c r="O48" s="22">
        <f t="shared" si="18"/>
        <v>49.040799340956916</v>
      </c>
      <c r="P48" s="22">
        <f t="shared" si="18"/>
        <v>49.33558553417604</v>
      </c>
      <c r="Q48" s="3">
        <f t="shared" si="18"/>
        <v>49.648766349225639</v>
      </c>
      <c r="R48" s="4">
        <f t="shared" ref="R48:AG51" si="19">SQRT($A48^2+R$1^2)</f>
        <v>49.979995998399197</v>
      </c>
      <c r="S48" s="5">
        <f t="shared" si="19"/>
        <v>50.328918128646478</v>
      </c>
      <c r="T48" s="22">
        <f t="shared" si="19"/>
        <v>50.695167422546305</v>
      </c>
      <c r="U48" s="2">
        <f t="shared" si="19"/>
        <v>51.078371156488537</v>
      </c>
      <c r="V48" s="2">
        <f t="shared" si="19"/>
        <v>51.478150704935004</v>
      </c>
      <c r="W48" s="2">
        <f t="shared" si="19"/>
        <v>51.894122981316485</v>
      </c>
      <c r="X48" s="2">
        <f t="shared" si="19"/>
        <v>52.32590180780452</v>
      </c>
      <c r="Y48" s="2">
        <f t="shared" si="19"/>
        <v>52.773099207835045</v>
      </c>
      <c r="Z48" s="2">
        <f t="shared" si="19"/>
        <v>53.235326616824658</v>
      </c>
      <c r="AA48" s="2">
        <f t="shared" si="19"/>
        <v>53.712196007983138</v>
      </c>
      <c r="AB48" s="2">
        <f t="shared" si="19"/>
        <v>54.203320931470607</v>
      </c>
      <c r="AC48" s="2">
        <f t="shared" si="19"/>
        <v>54.708317466359723</v>
      </c>
      <c r="AD48" s="2">
        <f t="shared" si="19"/>
        <v>55.226805085936306</v>
      </c>
      <c r="AE48" s="2">
        <f t="shared" si="19"/>
        <v>55.758407437802596</v>
      </c>
      <c r="AF48" s="2">
        <f t="shared" si="19"/>
        <v>56.302753041036986</v>
      </c>
      <c r="AG48" s="2">
        <f t="shared" si="19"/>
        <v>56.859475903318</v>
      </c>
      <c r="AH48" s="2">
        <f t="shared" ref="AF48:AO51" si="20">SQRT($A48^2+AH$1^2)</f>
        <v>57.428216061444921</v>
      </c>
      <c r="AI48" s="2">
        <f t="shared" si="20"/>
        <v>58.008620049092706</v>
      </c>
      <c r="AJ48" s="2">
        <f t="shared" si="20"/>
        <v>58.600341295934449</v>
      </c>
      <c r="AK48" s="2">
        <f t="shared" si="20"/>
        <v>59.203040462462738</v>
      </c>
      <c r="AL48" s="2">
        <f t="shared" si="20"/>
        <v>59.816385714952723</v>
      </c>
      <c r="AM48" s="2">
        <f t="shared" si="20"/>
        <v>60.440052945046304</v>
      </c>
      <c r="AN48" s="2">
        <f t="shared" si="20"/>
        <v>61.073725938409879</v>
      </c>
      <c r="AO48" s="2">
        <f t="shared" si="20"/>
        <v>61.71709649683789</v>
      </c>
      <c r="AP48" s="2">
        <f t="shared" si="13"/>
        <v>62.369864518050704</v>
      </c>
      <c r="AQ48" s="2">
        <f t="shared" si="13"/>
        <v>63.031738037277698</v>
      </c>
      <c r="AR48" s="2">
        <f t="shared" si="13"/>
        <v>63.702433234531945</v>
      </c>
      <c r="AS48" s="2">
        <f t="shared" si="13"/>
        <v>64.381674411279491</v>
      </c>
      <c r="AT48" s="2">
        <f t="shared" si="13"/>
        <v>65.069193939989759</v>
      </c>
      <c r="AU48" s="2">
        <f t="shared" si="13"/>
        <v>65.76473218982953</v>
      </c>
      <c r="AV48" s="2">
        <f t="shared" si="13"/>
        <v>66.468037431535464</v>
      </c>
      <c r="AW48" s="2">
        <f t="shared" si="13"/>
        <v>67.178865724273734</v>
      </c>
      <c r="AX48" s="2">
        <f t="shared" si="13"/>
        <v>67.896980787071826</v>
      </c>
      <c r="AY48" s="2">
        <f t="shared" si="13"/>
        <v>68.622153857191051</v>
      </c>
    </row>
    <row r="49" spans="1:51" ht="15.75" thickBot="1" x14ac:dyDescent="0.3">
      <c r="A49" s="22">
        <v>48</v>
      </c>
      <c r="B49" s="2">
        <f t="shared" si="18"/>
        <v>48.010415536631214</v>
      </c>
      <c r="C49" s="2">
        <f t="shared" si="18"/>
        <v>48.041648597857254</v>
      </c>
      <c r="D49" s="2">
        <f t="shared" si="18"/>
        <v>48.093658625644196</v>
      </c>
      <c r="E49" s="2">
        <f t="shared" si="18"/>
        <v>48.166378315169183</v>
      </c>
      <c r="F49" s="2">
        <f t="shared" si="18"/>
        <v>48.259714048054619</v>
      </c>
      <c r="G49" s="22">
        <f t="shared" si="18"/>
        <v>48.373546489791295</v>
      </c>
      <c r="H49" s="22">
        <f t="shared" si="18"/>
        <v>48.507731342539614</v>
      </c>
      <c r="I49" s="2">
        <f t="shared" si="18"/>
        <v>48.662100242385755</v>
      </c>
      <c r="J49" s="2">
        <f t="shared" si="18"/>
        <v>48.836461788299118</v>
      </c>
      <c r="K49" s="22">
        <f t="shared" si="18"/>
        <v>49.03060268852505</v>
      </c>
      <c r="L49" s="22">
        <f t="shared" si="18"/>
        <v>49.244289008980523</v>
      </c>
      <c r="M49" s="2">
        <f t="shared" si="18"/>
        <v>49.477267507411923</v>
      </c>
      <c r="N49" s="3">
        <f t="shared" si="18"/>
        <v>49.729267036625423</v>
      </c>
      <c r="O49" s="4">
        <f t="shared" si="18"/>
        <v>50</v>
      </c>
      <c r="P49" s="5">
        <f t="shared" si="18"/>
        <v>50.289163842720633</v>
      </c>
      <c r="Q49" s="22">
        <f t="shared" si="18"/>
        <v>50.596442562694072</v>
      </c>
      <c r="R49" s="22">
        <f t="shared" si="19"/>
        <v>50.921508225896062</v>
      </c>
      <c r="S49" s="22">
        <f t="shared" si="19"/>
        <v>51.264022471905186</v>
      </c>
      <c r="T49" s="22">
        <f t="shared" si="19"/>
        <v>51.623637996561229</v>
      </c>
      <c r="U49" s="2">
        <f t="shared" si="19"/>
        <v>52</v>
      </c>
      <c r="V49" s="2">
        <f t="shared" si="19"/>
        <v>52.392747589718944</v>
      </c>
      <c r="W49" s="2">
        <f t="shared" si="19"/>
        <v>52.801515129776341</v>
      </c>
      <c r="X49" s="2">
        <f t="shared" si="19"/>
        <v>53.225933528685054</v>
      </c>
      <c r="Y49" s="2">
        <f t="shared" si="19"/>
        <v>53.665631459994955</v>
      </c>
      <c r="Z49" s="2">
        <f t="shared" si="19"/>
        <v>54.120236510939236</v>
      </c>
      <c r="AA49" s="2">
        <f t="shared" si="19"/>
        <v>54.589376255824725</v>
      </c>
      <c r="AB49" s="2">
        <f t="shared" si="19"/>
        <v>55.072679252057455</v>
      </c>
      <c r="AC49" s="2">
        <f t="shared" si="19"/>
        <v>55.569775957799216</v>
      </c>
      <c r="AD49" s="2">
        <f t="shared" si="19"/>
        <v>56.080299571239813</v>
      </c>
      <c r="AE49" s="2">
        <f t="shared" si="19"/>
        <v>56.603886792339623</v>
      </c>
      <c r="AF49" s="2">
        <f t="shared" si="20"/>
        <v>57.140178508646613</v>
      </c>
      <c r="AG49" s="2">
        <f t="shared" si="20"/>
        <v>57.688820407423826</v>
      </c>
      <c r="AH49" s="2">
        <f t="shared" si="20"/>
        <v>58.249463516842795</v>
      </c>
      <c r="AI49" s="2">
        <f t="shared" si="20"/>
        <v>58.821764679410968</v>
      </c>
      <c r="AJ49" s="2">
        <f t="shared" si="20"/>
        <v>59.405386961116584</v>
      </c>
      <c r="AK49" s="2">
        <f t="shared" si="20"/>
        <v>60</v>
      </c>
      <c r="AL49" s="2">
        <f t="shared" si="20"/>
        <v>60.605280298007038</v>
      </c>
      <c r="AM49" s="2">
        <f t="shared" si="20"/>
        <v>61.220911460055866</v>
      </c>
      <c r="AN49" s="2">
        <f t="shared" si="20"/>
        <v>61.846584384264908</v>
      </c>
      <c r="AO49" s="2">
        <f t="shared" si="20"/>
        <v>62.481997407253232</v>
      </c>
      <c r="AP49" s="2">
        <f t="shared" si="13"/>
        <v>63.126856408346519</v>
      </c>
      <c r="AQ49" s="2">
        <f t="shared" si="13"/>
        <v>63.7808748764079</v>
      </c>
      <c r="AR49" s="2">
        <f t="shared" si="13"/>
        <v>64.443773942872099</v>
      </c>
      <c r="AS49" s="2">
        <f t="shared" si="13"/>
        <v>65.115282384398824</v>
      </c>
      <c r="AT49" s="2">
        <f t="shared" si="13"/>
        <v>65.79513659838392</v>
      </c>
      <c r="AU49" s="2">
        <f t="shared" si="13"/>
        <v>66.483080554378645</v>
      </c>
      <c r="AV49" s="2">
        <f t="shared" si="13"/>
        <v>67.178865724273734</v>
      </c>
      <c r="AW49" s="2">
        <f t="shared" si="13"/>
        <v>67.882250993908556</v>
      </c>
      <c r="AX49" s="2">
        <f t="shared" si="13"/>
        <v>68.593002558570063</v>
      </c>
      <c r="AY49" s="2">
        <f t="shared" si="13"/>
        <v>69.31089380465383</v>
      </c>
    </row>
    <row r="50" spans="1:51" ht="15.75" thickBot="1" x14ac:dyDescent="0.3">
      <c r="A50" s="22">
        <v>49</v>
      </c>
      <c r="B50" s="2">
        <f t="shared" si="18"/>
        <v>49.010203019371382</v>
      </c>
      <c r="C50" s="2">
        <f t="shared" si="18"/>
        <v>49.040799340956916</v>
      </c>
      <c r="D50" s="2">
        <f t="shared" si="18"/>
        <v>49.091750834534309</v>
      </c>
      <c r="E50" s="2">
        <f t="shared" si="18"/>
        <v>49.162994213127419</v>
      </c>
      <c r="F50" s="2">
        <f t="shared" si="18"/>
        <v>49.254441424099006</v>
      </c>
      <c r="G50" s="22">
        <f t="shared" si="18"/>
        <v>49.365980188789933</v>
      </c>
      <c r="H50" s="22">
        <f t="shared" si="18"/>
        <v>49.497474683058329</v>
      </c>
      <c r="I50" s="3">
        <f t="shared" si="18"/>
        <v>49.648766349225639</v>
      </c>
      <c r="J50" s="4">
        <f t="shared" si="18"/>
        <v>49.819674828324601</v>
      </c>
      <c r="K50" s="4">
        <f t="shared" si="18"/>
        <v>50.009999000199947</v>
      </c>
      <c r="L50" s="4">
        <f t="shared" si="18"/>
        <v>50.219518117958877</v>
      </c>
      <c r="M50" s="5">
        <f t="shared" si="18"/>
        <v>50.447993022517757</v>
      </c>
      <c r="N50" s="23">
        <f t="shared" si="18"/>
        <v>50.695167422546305</v>
      </c>
      <c r="O50" s="22">
        <f t="shared" si="18"/>
        <v>50.960769224963627</v>
      </c>
      <c r="P50" s="22">
        <f t="shared" si="18"/>
        <v>51.244511901275828</v>
      </c>
      <c r="Q50" s="22">
        <f t="shared" si="18"/>
        <v>51.546095875439491</v>
      </c>
      <c r="R50" s="22">
        <f t="shared" si="19"/>
        <v>51.86520991955976</v>
      </c>
      <c r="S50" s="22">
        <f t="shared" si="19"/>
        <v>52.201532544552748</v>
      </c>
      <c r="T50" s="22">
        <f t="shared" si="19"/>
        <v>52.55473337388365</v>
      </c>
      <c r="U50" s="2">
        <f t="shared" si="19"/>
        <v>52.924474489596967</v>
      </c>
      <c r="V50" s="2">
        <f t="shared" si="19"/>
        <v>53.310411741047361</v>
      </c>
      <c r="W50" s="2">
        <f t="shared" si="19"/>
        <v>53.712196007983138</v>
      </c>
      <c r="X50" s="2">
        <f t="shared" si="19"/>
        <v>54.12947441089743</v>
      </c>
      <c r="Y50" s="2">
        <f t="shared" si="19"/>
        <v>54.561891462814962</v>
      </c>
      <c r="Z50" s="2">
        <f t="shared" si="19"/>
        <v>55.009090157900268</v>
      </c>
      <c r="AA50" s="2">
        <f t="shared" si="19"/>
        <v>55.470712993434653</v>
      </c>
      <c r="AB50" s="2">
        <f t="shared" si="19"/>
        <v>55.946402922797461</v>
      </c>
      <c r="AC50" s="2">
        <f t="shared" si="19"/>
        <v>56.435804238089851</v>
      </c>
      <c r="AD50" s="2">
        <f t="shared" si="19"/>
        <v>56.938563381947034</v>
      </c>
      <c r="AE50" s="2">
        <f t="shared" si="19"/>
        <v>57.454329688892898</v>
      </c>
      <c r="AF50" s="2">
        <f t="shared" si="20"/>
        <v>57.982756057296896</v>
      </c>
      <c r="AG50" s="2">
        <f t="shared" si="20"/>
        <v>58.523499553598128</v>
      </c>
      <c r="AH50" s="2">
        <f t="shared" si="20"/>
        <v>59.076221950967721</v>
      </c>
      <c r="AI50" s="2">
        <f t="shared" si="20"/>
        <v>59.640590204993778</v>
      </c>
      <c r="AJ50" s="2">
        <f t="shared" si="20"/>
        <v>60.21627686929839</v>
      </c>
      <c r="AK50" s="2">
        <f t="shared" si="20"/>
        <v>60.802960454241045</v>
      </c>
      <c r="AL50" s="2">
        <f t="shared" si="20"/>
        <v>61.400325732035007</v>
      </c>
      <c r="AM50" s="2">
        <f t="shared" si="20"/>
        <v>62.008063991709982</v>
      </c>
      <c r="AN50" s="2">
        <f t="shared" si="20"/>
        <v>62.625873247404705</v>
      </c>
      <c r="AO50" s="2">
        <f t="shared" si="20"/>
        <v>63.253458403473878</v>
      </c>
      <c r="AP50" s="2">
        <f t="shared" si="13"/>
        <v>63.890531379853151</v>
      </c>
      <c r="AQ50" s="2">
        <f t="shared" si="13"/>
        <v>64.536811201050213</v>
      </c>
      <c r="AR50" s="2">
        <f t="shared" si="13"/>
        <v>65.192024052026483</v>
      </c>
      <c r="AS50" s="2">
        <f t="shared" si="13"/>
        <v>65.855903304107827</v>
      </c>
      <c r="AT50" s="2">
        <f t="shared" si="13"/>
        <v>66.528189513919585</v>
      </c>
      <c r="AU50" s="2">
        <f t="shared" si="13"/>
        <v>67.208630398186216</v>
      </c>
      <c r="AV50" s="2">
        <f t="shared" si="13"/>
        <v>67.896980787071826</v>
      </c>
      <c r="AW50" s="2">
        <f t="shared" si="13"/>
        <v>68.593002558570063</v>
      </c>
      <c r="AX50" s="2">
        <f t="shared" si="13"/>
        <v>69.296464556281663</v>
      </c>
      <c r="AY50" s="2">
        <f t="shared" si="13"/>
        <v>70.007142492748557</v>
      </c>
    </row>
    <row r="51" spans="1:51" ht="15.75" thickBot="1" x14ac:dyDescent="0.3">
      <c r="A51" s="3">
        <v>50</v>
      </c>
      <c r="B51" s="4">
        <f t="shared" si="18"/>
        <v>50.009999000199947</v>
      </c>
      <c r="C51" s="4">
        <f t="shared" si="18"/>
        <v>50.039984012787215</v>
      </c>
      <c r="D51" s="4">
        <f t="shared" si="18"/>
        <v>50.089919145472777</v>
      </c>
      <c r="E51" s="4">
        <f t="shared" si="18"/>
        <v>50.159744815937813</v>
      </c>
      <c r="F51" s="24">
        <f t="shared" si="18"/>
        <v>50.24937810560445</v>
      </c>
      <c r="G51" s="24">
        <f t="shared" si="18"/>
        <v>50.358713248056688</v>
      </c>
      <c r="H51" s="25">
        <f t="shared" si="18"/>
        <v>50.487622245457352</v>
      </c>
      <c r="I51" s="16">
        <f t="shared" si="18"/>
        <v>50.635955604688654</v>
      </c>
      <c r="J51" s="2">
        <f t="shared" si="18"/>
        <v>50.803543183522152</v>
      </c>
      <c r="K51" s="22">
        <f t="shared" si="18"/>
        <v>50.990195135927848</v>
      </c>
      <c r="L51" s="22">
        <f t="shared" si="18"/>
        <v>51.195702944680818</v>
      </c>
      <c r="M51" s="2">
        <f t="shared" si="18"/>
        <v>51.419840528729765</v>
      </c>
      <c r="N51" s="22">
        <f t="shared" si="18"/>
        <v>51.662365412357957</v>
      </c>
      <c r="O51" s="22">
        <f t="shared" si="18"/>
        <v>51.923019942988681</v>
      </c>
      <c r="P51" s="22">
        <f t="shared" si="18"/>
        <v>52.201532544552748</v>
      </c>
      <c r="Q51" s="22">
        <f t="shared" si="18"/>
        <v>52.497618993626752</v>
      </c>
      <c r="R51" s="22">
        <f t="shared" si="19"/>
        <v>52.810983706043572</v>
      </c>
      <c r="S51" s="22">
        <f t="shared" si="19"/>
        <v>53.141321022345693</v>
      </c>
      <c r="T51" s="22">
        <f t="shared" si="19"/>
        <v>53.488316481265329</v>
      </c>
      <c r="U51" s="2">
        <f t="shared" si="19"/>
        <v>53.851648071345039</v>
      </c>
      <c r="V51" s="2">
        <f t="shared" si="19"/>
        <v>54.230987451824994</v>
      </c>
      <c r="W51" s="2">
        <f t="shared" si="19"/>
        <v>54.626001134990652</v>
      </c>
      <c r="X51" s="2">
        <f t="shared" si="19"/>
        <v>55.036351623268054</v>
      </c>
      <c r="Y51" s="2">
        <f t="shared" si="19"/>
        <v>55.461698495448189</v>
      </c>
      <c r="Z51" s="2">
        <f t="shared" si="19"/>
        <v>55.901699437494742</v>
      </c>
      <c r="AA51" s="2">
        <f t="shared" si="19"/>
        <v>56.356011214421486</v>
      </c>
      <c r="AB51" s="2">
        <f t="shared" si="19"/>
        <v>56.824290580701486</v>
      </c>
      <c r="AC51" s="2">
        <f t="shared" si="19"/>
        <v>57.30619512757761</v>
      </c>
      <c r="AD51" s="2">
        <f t="shared" si="19"/>
        <v>57.801384066473702</v>
      </c>
      <c r="AE51" s="2">
        <f t="shared" si="19"/>
        <v>58.309518948453004</v>
      </c>
      <c r="AF51" s="2">
        <f t="shared" si="20"/>
        <v>58.830264320330912</v>
      </c>
      <c r="AG51" s="2">
        <f t="shared" si="20"/>
        <v>59.363288318623319</v>
      </c>
      <c r="AH51" s="2">
        <f t="shared" si="20"/>
        <v>59.908263203000637</v>
      </c>
      <c r="AI51" s="2">
        <f t="shared" si="20"/>
        <v>60.464865831323898</v>
      </c>
      <c r="AJ51" s="2">
        <f t="shared" si="20"/>
        <v>61.032778078668514</v>
      </c>
      <c r="AK51" s="2">
        <f t="shared" si="20"/>
        <v>61.611687202997452</v>
      </c>
      <c r="AL51" s="2">
        <f t="shared" si="20"/>
        <v>62.201286160335947</v>
      </c>
      <c r="AM51" s="2">
        <f t="shared" si="20"/>
        <v>62.801273872430329</v>
      </c>
      <c r="AN51" s="2">
        <f t="shared" si="20"/>
        <v>63.411355449950761</v>
      </c>
      <c r="AO51" s="2">
        <f t="shared" si="20"/>
        <v>64.031242374328485</v>
      </c>
      <c r="AP51" s="2">
        <f t="shared" si="13"/>
        <v>64.660652641308843</v>
      </c>
      <c r="AQ51" s="2">
        <f t="shared" si="13"/>
        <v>65.299310869258036</v>
      </c>
      <c r="AR51" s="2">
        <f t="shared" si="13"/>
        <v>65.946948375190189</v>
      </c>
      <c r="AS51" s="2">
        <f t="shared" si="13"/>
        <v>66.603303221386852</v>
      </c>
      <c r="AT51" s="2">
        <f t="shared" si="13"/>
        <v>67.268120235368556</v>
      </c>
      <c r="AU51" s="2">
        <f t="shared" si="13"/>
        <v>67.94115100585212</v>
      </c>
      <c r="AV51" s="2">
        <f t="shared" si="13"/>
        <v>68.622153857191051</v>
      </c>
      <c r="AW51" s="2">
        <f t="shared" si="13"/>
        <v>69.31089380465383</v>
      </c>
      <c r="AX51" s="2">
        <f t="shared" si="13"/>
        <v>70.007142492748557</v>
      </c>
      <c r="AY51" s="2">
        <f t="shared" si="13"/>
        <v>70.710678118654755</v>
      </c>
    </row>
    <row r="52" spans="1:51" x14ac:dyDescent="0.25">
      <c r="A52" s="22"/>
    </row>
  </sheetData>
  <conditionalFormatting sqref="AP1:AZ1 A1:AO43 A44:A52 B44:AO51">
    <cfRule type="cellIs" dxfId="1" priority="2" operator="equal">
      <formula>100</formula>
    </cfRule>
  </conditionalFormatting>
  <conditionalFormatting sqref="AP2:AY51">
    <cfRule type="cellIs" dxfId="0" priority="1" operator="equal"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S55"/>
  <sheetViews>
    <sheetView topLeftCell="A22" zoomScale="85" zoomScaleNormal="85" workbookViewId="0">
      <selection activeCell="F52" sqref="F52"/>
    </sheetView>
  </sheetViews>
  <sheetFormatPr defaultRowHeight="15" x14ac:dyDescent="0.25"/>
  <cols>
    <col min="4" max="4" width="25.7109375" customWidth="1"/>
  </cols>
  <sheetData>
    <row r="1" spans="1:45" x14ac:dyDescent="0.25">
      <c r="A1" t="s">
        <v>2</v>
      </c>
      <c r="B1">
        <v>50</v>
      </c>
    </row>
    <row r="4" spans="1:45" x14ac:dyDescent="0.25">
      <c r="D4" t="s">
        <v>3</v>
      </c>
      <c r="E4" s="43">
        <v>0</v>
      </c>
      <c r="F4" s="43">
        <v>9.9999999999999006E-2</v>
      </c>
      <c r="G4" s="43">
        <v>0.19999999999999901</v>
      </c>
      <c r="H4" s="43">
        <v>0.29999999999999899</v>
      </c>
      <c r="I4" s="43">
        <v>0.39999999999999902</v>
      </c>
      <c r="J4" s="43">
        <v>0.5</v>
      </c>
      <c r="K4" s="43">
        <v>0.6</v>
      </c>
      <c r="L4" s="43">
        <v>0.7</v>
      </c>
      <c r="M4" s="43">
        <v>0.8</v>
      </c>
      <c r="N4" s="43">
        <v>0.9</v>
      </c>
      <c r="O4" s="43">
        <v>1</v>
      </c>
      <c r="P4" s="43">
        <v>1.1000000000000001</v>
      </c>
      <c r="Q4" s="43">
        <v>1.2</v>
      </c>
      <c r="R4" s="43">
        <v>1.3</v>
      </c>
      <c r="S4" s="43">
        <v>1.4</v>
      </c>
      <c r="T4" s="43">
        <v>1.5</v>
      </c>
      <c r="U4" s="43">
        <v>1.6</v>
      </c>
      <c r="V4" s="43">
        <v>1.7</v>
      </c>
      <c r="W4" s="43">
        <v>1.8</v>
      </c>
      <c r="X4" s="43">
        <v>1.9</v>
      </c>
      <c r="Y4" s="43">
        <v>2</v>
      </c>
      <c r="Z4" s="43">
        <v>2.1</v>
      </c>
      <c r="AA4" s="43">
        <v>2.2000000000000002</v>
      </c>
      <c r="AB4" s="43">
        <v>2.2999999999999998</v>
      </c>
      <c r="AC4" s="43">
        <v>2.4</v>
      </c>
      <c r="AD4" s="43">
        <v>2.5</v>
      </c>
      <c r="AE4" s="43">
        <v>2.6</v>
      </c>
      <c r="AF4" s="43">
        <v>2.7</v>
      </c>
      <c r="AG4" s="43">
        <v>2.8</v>
      </c>
      <c r="AH4" s="43">
        <v>2.9</v>
      </c>
      <c r="AI4" s="43">
        <v>3</v>
      </c>
      <c r="AJ4" s="43">
        <v>3.1</v>
      </c>
      <c r="AK4" s="43">
        <v>3.2</v>
      </c>
      <c r="AL4" s="43">
        <v>3.3</v>
      </c>
      <c r="AM4" s="43">
        <v>3.4</v>
      </c>
      <c r="AN4" s="43">
        <v>3.5</v>
      </c>
      <c r="AO4" s="43">
        <v>3.6</v>
      </c>
      <c r="AP4" s="43">
        <v>3.7</v>
      </c>
      <c r="AQ4" s="43">
        <v>3.8</v>
      </c>
      <c r="AR4" s="43">
        <v>3.9</v>
      </c>
      <c r="AS4" s="43">
        <v>4</v>
      </c>
    </row>
    <row r="5" spans="1:45" x14ac:dyDescent="0.25">
      <c r="D5" t="s">
        <v>4</v>
      </c>
      <c r="F5">
        <v>594</v>
      </c>
      <c r="G5">
        <v>307</v>
      </c>
      <c r="H5">
        <v>217</v>
      </c>
      <c r="I5">
        <v>171</v>
      </c>
      <c r="J5">
        <v>144</v>
      </c>
      <c r="K5">
        <v>127</v>
      </c>
      <c r="L5">
        <v>111</v>
      </c>
      <c r="M5">
        <v>102</v>
      </c>
      <c r="N5">
        <v>95</v>
      </c>
      <c r="O5" s="44">
        <v>89</v>
      </c>
      <c r="P5" s="44">
        <v>83</v>
      </c>
      <c r="Q5" s="44">
        <v>78</v>
      </c>
      <c r="R5" s="44">
        <v>76</v>
      </c>
      <c r="S5" s="44">
        <v>72</v>
      </c>
      <c r="T5" s="44">
        <v>70</v>
      </c>
      <c r="U5" s="44">
        <v>67</v>
      </c>
      <c r="V5" s="44">
        <v>66</v>
      </c>
      <c r="W5" s="44">
        <v>64</v>
      </c>
      <c r="X5" s="44">
        <v>62</v>
      </c>
      <c r="Y5" s="44">
        <v>61</v>
      </c>
      <c r="Z5" s="44">
        <v>59</v>
      </c>
      <c r="AA5" s="44">
        <v>58</v>
      </c>
      <c r="AB5" s="44">
        <v>57</v>
      </c>
      <c r="AC5" s="44">
        <v>56</v>
      </c>
      <c r="AD5" s="44">
        <v>55</v>
      </c>
      <c r="AE5" s="44">
        <v>54</v>
      </c>
      <c r="AF5" s="44">
        <v>53</v>
      </c>
      <c r="AG5" s="44">
        <v>52</v>
      </c>
      <c r="AH5" s="44">
        <v>52</v>
      </c>
      <c r="AI5" s="44">
        <v>51</v>
      </c>
      <c r="AJ5" s="44">
        <v>50</v>
      </c>
      <c r="AK5" s="44">
        <v>50</v>
      </c>
      <c r="AL5" s="44">
        <v>50</v>
      </c>
      <c r="AM5" s="44">
        <v>50</v>
      </c>
      <c r="AN5" s="44">
        <v>50</v>
      </c>
      <c r="AO5" s="44">
        <v>50</v>
      </c>
      <c r="AP5" s="44">
        <v>50</v>
      </c>
      <c r="AQ5" s="44">
        <v>50</v>
      </c>
      <c r="AR5" s="44">
        <v>50</v>
      </c>
      <c r="AS5" s="44">
        <v>50</v>
      </c>
    </row>
    <row r="6" spans="1:45" x14ac:dyDescent="0.25">
      <c r="D6" t="s">
        <v>5</v>
      </c>
      <c r="E6" s="42">
        <v>0</v>
      </c>
      <c r="F6" s="42">
        <f t="shared" ref="F6:N6" si="0">$B$1/F5</f>
        <v>8.4175084175084181E-2</v>
      </c>
      <c r="G6" s="42">
        <f t="shared" si="0"/>
        <v>0.16286644951140064</v>
      </c>
      <c r="H6" s="42">
        <f t="shared" si="0"/>
        <v>0.2304147465437788</v>
      </c>
      <c r="I6" s="42">
        <f t="shared" si="0"/>
        <v>0.29239766081871343</v>
      </c>
      <c r="J6" s="42">
        <f t="shared" si="0"/>
        <v>0.34722222222222221</v>
      </c>
      <c r="K6" s="42">
        <f t="shared" si="0"/>
        <v>0.39370078740157483</v>
      </c>
      <c r="L6" s="42">
        <f t="shared" si="0"/>
        <v>0.45045045045045046</v>
      </c>
      <c r="M6" s="42">
        <f t="shared" si="0"/>
        <v>0.49019607843137253</v>
      </c>
      <c r="N6" s="42">
        <f t="shared" si="0"/>
        <v>0.52631578947368418</v>
      </c>
      <c r="O6" s="42">
        <f>$B$1/O5</f>
        <v>0.5617977528089888</v>
      </c>
      <c r="P6" s="42">
        <f>$B$1/P5</f>
        <v>0.60240963855421692</v>
      </c>
      <c r="Q6" s="42">
        <f t="shared" ref="Q6:Y6" si="1">$B$1/Q5</f>
        <v>0.64102564102564108</v>
      </c>
      <c r="R6" s="42">
        <f t="shared" si="1"/>
        <v>0.65789473684210531</v>
      </c>
      <c r="S6" s="42">
        <f t="shared" si="1"/>
        <v>0.69444444444444442</v>
      </c>
      <c r="T6" s="42">
        <f t="shared" si="1"/>
        <v>0.7142857142857143</v>
      </c>
      <c r="U6" s="42">
        <f t="shared" si="1"/>
        <v>0.74626865671641796</v>
      </c>
      <c r="V6" s="42">
        <f t="shared" si="1"/>
        <v>0.75757575757575757</v>
      </c>
      <c r="W6" s="42">
        <f t="shared" si="1"/>
        <v>0.78125</v>
      </c>
      <c r="X6" s="42">
        <f t="shared" si="1"/>
        <v>0.80645161290322576</v>
      </c>
      <c r="Y6" s="42">
        <f t="shared" si="1"/>
        <v>0.81967213114754101</v>
      </c>
      <c r="Z6" s="42">
        <f t="shared" ref="Z6" si="2">$B$1/Z5</f>
        <v>0.84745762711864403</v>
      </c>
      <c r="AA6" s="42">
        <f t="shared" ref="AA6" si="3">$B$1/AA5</f>
        <v>0.86206896551724133</v>
      </c>
      <c r="AB6" s="42">
        <f t="shared" ref="AB6" si="4">$B$1/AB5</f>
        <v>0.8771929824561403</v>
      </c>
      <c r="AC6" s="42">
        <f t="shared" ref="AC6" si="5">$B$1/AC5</f>
        <v>0.8928571428571429</v>
      </c>
      <c r="AD6" s="42">
        <f t="shared" ref="AD6" si="6">$B$1/AD5</f>
        <v>0.90909090909090906</v>
      </c>
      <c r="AE6" s="42">
        <f t="shared" ref="AE6" si="7">$B$1/AE5</f>
        <v>0.92592592592592593</v>
      </c>
      <c r="AF6" s="42">
        <f t="shared" ref="AF6" si="8">$B$1/AF5</f>
        <v>0.94339622641509435</v>
      </c>
      <c r="AG6" s="42">
        <f t="shared" ref="AG6" si="9">$B$1/AG5</f>
        <v>0.96153846153846156</v>
      </c>
      <c r="AH6" s="42">
        <f t="shared" ref="AH6" si="10">$B$1/AH5</f>
        <v>0.96153846153846156</v>
      </c>
      <c r="AI6" s="42">
        <f t="shared" ref="AI6" si="11">$B$1/AI5</f>
        <v>0.98039215686274506</v>
      </c>
      <c r="AJ6" s="42">
        <f t="shared" ref="AJ6" si="12">$B$1/AJ5</f>
        <v>1</v>
      </c>
      <c r="AK6" s="42">
        <f t="shared" ref="AK6" si="13">$B$1/AK5</f>
        <v>1</v>
      </c>
      <c r="AL6" s="42">
        <f t="shared" ref="AL6" si="14">$B$1/AL5</f>
        <v>1</v>
      </c>
      <c r="AM6" s="42">
        <f t="shared" ref="AM6" si="15">$B$1/AM5</f>
        <v>1</v>
      </c>
      <c r="AN6" s="42">
        <f t="shared" ref="AN6" si="16">$B$1/AN5</f>
        <v>1</v>
      </c>
      <c r="AO6" s="42">
        <f t="shared" ref="AO6" si="17">$B$1/AO5</f>
        <v>1</v>
      </c>
      <c r="AP6" s="42">
        <f t="shared" ref="AP6" si="18">$B$1/AP5</f>
        <v>1</v>
      </c>
      <c r="AQ6" s="42">
        <f t="shared" ref="AQ6" si="19">$B$1/AQ5</f>
        <v>1</v>
      </c>
      <c r="AR6" s="42">
        <f t="shared" ref="AR6" si="20">$B$1/AR5</f>
        <v>1</v>
      </c>
      <c r="AS6" s="42">
        <f t="shared" ref="AS6" si="21">$B$1/AS5</f>
        <v>1</v>
      </c>
    </row>
    <row r="8" spans="1:45" x14ac:dyDescent="0.25">
      <c r="F8">
        <f t="shared" ref="F8:N8" si="22">$O$6*SQRT(F4*1.07767)</f>
        <v>0.18442631735195278</v>
      </c>
      <c r="G8">
        <f t="shared" si="22"/>
        <v>0.26081819925765676</v>
      </c>
      <c r="H8">
        <f t="shared" si="22"/>
        <v>0.31943575190640489</v>
      </c>
      <c r="I8">
        <f t="shared" si="22"/>
        <v>0.36885263470390689</v>
      </c>
      <c r="J8">
        <f t="shared" si="22"/>
        <v>0.41238978243891744</v>
      </c>
      <c r="K8">
        <f t="shared" si="22"/>
        <v>0.45175037265288581</v>
      </c>
      <c r="L8">
        <f t="shared" si="22"/>
        <v>0.4879461709287457</v>
      </c>
      <c r="M8">
        <f t="shared" si="22"/>
        <v>0.52163639851531485</v>
      </c>
      <c r="N8">
        <f t="shared" si="22"/>
        <v>0.55327895205586108</v>
      </c>
      <c r="P8">
        <f t="shared" ref="P8:S8" si="23">$O$6*SQRT(P4*1.07767)</f>
        <v>0.611672896123442</v>
      </c>
      <c r="Q8">
        <f t="shared" si="23"/>
        <v>0.63887150381281088</v>
      </c>
      <c r="R8">
        <f t="shared" si="23"/>
        <v>0.66495854375746311</v>
      </c>
      <c r="S8">
        <f t="shared" si="23"/>
        <v>0.69006009263545265</v>
      </c>
      <c r="T8">
        <f>$O$6*SQRT(T4*1.07767)</f>
        <v>0.71428005570648068</v>
      </c>
      <c r="U8">
        <f t="shared" ref="U8:AS8" si="24">$O$6*SQRT(U4*1.07767)</f>
        <v>0.73770526940781478</v>
      </c>
      <c r="V8">
        <f t="shared" si="24"/>
        <v>0.76040918658578827</v>
      </c>
      <c r="W8">
        <f t="shared" si="24"/>
        <v>0.78245459777297222</v>
      </c>
      <c r="X8">
        <f t="shared" si="24"/>
        <v>0.80389567986652799</v>
      </c>
      <c r="Y8">
        <f t="shared" si="24"/>
        <v>0.82477956487783488</v>
      </c>
      <c r="Z8">
        <f t="shared" si="24"/>
        <v>0.84514755940727548</v>
      </c>
      <c r="AA8">
        <f t="shared" si="24"/>
        <v>0.86503610543380083</v>
      </c>
      <c r="AB8">
        <f t="shared" si="24"/>
        <v>0.88447754648497501</v>
      </c>
      <c r="AC8">
        <f t="shared" si="24"/>
        <v>0.90350074530577162</v>
      </c>
      <c r="AD8">
        <f t="shared" si="24"/>
        <v>0.92213158675976847</v>
      </c>
      <c r="AE8">
        <f t="shared" si="24"/>
        <v>0.94039339099766761</v>
      </c>
      <c r="AF8">
        <f t="shared" si="24"/>
        <v>0.95830725571921638</v>
      </c>
      <c r="AG8">
        <f t="shared" si="24"/>
        <v>0.97589234185749141</v>
      </c>
      <c r="AH8">
        <f t="shared" si="24"/>
        <v>0.99316611371316055</v>
      </c>
      <c r="AI8">
        <f t="shared" si="24"/>
        <v>1.0101445421127146</v>
      </c>
      <c r="AJ8">
        <f t="shared" si="24"/>
        <v>1.0268422773201877</v>
      </c>
      <c r="AK8">
        <f t="shared" si="24"/>
        <v>1.0432727970306297</v>
      </c>
      <c r="AL8">
        <f t="shared" si="24"/>
        <v>1.0594485336986015</v>
      </c>
      <c r="AM8">
        <f t="shared" si="24"/>
        <v>1.0753809846227151</v>
      </c>
      <c r="AN8">
        <f t="shared" si="24"/>
        <v>1.0910808075574072</v>
      </c>
      <c r="AO8">
        <f t="shared" si="24"/>
        <v>1.1065579041117222</v>
      </c>
      <c r="AP8">
        <f t="shared" si="24"/>
        <v>1.1218214927893524</v>
      </c>
      <c r="AQ8">
        <f t="shared" si="24"/>
        <v>1.1368801732003837</v>
      </c>
      <c r="AR8">
        <f t="shared" si="24"/>
        <v>1.1517419827149387</v>
      </c>
      <c r="AS8">
        <f t="shared" si="24"/>
        <v>1.1664144466184141</v>
      </c>
    </row>
    <row r="10" spans="1:45" x14ac:dyDescent="0.25">
      <c r="T10">
        <f>$O$6*SQRT(T6*1.07767)</f>
        <v>0.4929000661681805</v>
      </c>
    </row>
    <row r="36" spans="5:15" x14ac:dyDescent="0.25">
      <c r="E36" t="s">
        <v>6</v>
      </c>
    </row>
    <row r="37" spans="5:15" x14ac:dyDescent="0.25">
      <c r="F37">
        <v>1</v>
      </c>
      <c r="G37">
        <v>2</v>
      </c>
      <c r="H37">
        <v>3</v>
      </c>
      <c r="I37">
        <v>4</v>
      </c>
      <c r="J37">
        <v>5</v>
      </c>
      <c r="K37">
        <v>6</v>
      </c>
      <c r="L37">
        <v>7</v>
      </c>
      <c r="M37">
        <v>8</v>
      </c>
      <c r="N37">
        <v>9</v>
      </c>
      <c r="O37">
        <v>10</v>
      </c>
    </row>
    <row r="38" spans="5:15" x14ac:dyDescent="0.25">
      <c r="E38">
        <v>0</v>
      </c>
    </row>
    <row r="39" spans="5:15" x14ac:dyDescent="0.25">
      <c r="E39">
        <v>1</v>
      </c>
      <c r="F39">
        <f>GetAngle($E39,F$37)</f>
        <v>45.000000001286189</v>
      </c>
      <c r="G39">
        <f t="shared" ref="G39:O39" si="25">GetAngle($E39,G$37)</f>
        <v>26.565051177837272</v>
      </c>
      <c r="H39">
        <f t="shared" si="25"/>
        <v>18.43494882344892</v>
      </c>
      <c r="I39">
        <f t="shared" si="25"/>
        <v>14.036243468327664</v>
      </c>
      <c r="J39">
        <f t="shared" si="25"/>
        <v>11.309932474343475</v>
      </c>
      <c r="K39">
        <f t="shared" si="25"/>
        <v>9.4623222082960687</v>
      </c>
      <c r="L39">
        <f t="shared" si="25"/>
        <v>8.1301023543883524</v>
      </c>
      <c r="M39">
        <f t="shared" si="25"/>
        <v>7.1250163491054455</v>
      </c>
      <c r="N39">
        <f t="shared" si="25"/>
        <v>6.3401917460911248</v>
      </c>
      <c r="O39">
        <f t="shared" si="25"/>
        <v>5.7105931376628636</v>
      </c>
    </row>
    <row r="40" spans="5:15" x14ac:dyDescent="0.25">
      <c r="E40">
        <v>2</v>
      </c>
    </row>
    <row r="41" spans="5:15" x14ac:dyDescent="0.25">
      <c r="E41">
        <v>3</v>
      </c>
    </row>
    <row r="42" spans="5:15" x14ac:dyDescent="0.25">
      <c r="E42">
        <v>4</v>
      </c>
    </row>
    <row r="43" spans="5:15" x14ac:dyDescent="0.25">
      <c r="E43">
        <v>5</v>
      </c>
    </row>
    <row r="44" spans="5:15" x14ac:dyDescent="0.25">
      <c r="E44">
        <v>6</v>
      </c>
    </row>
    <row r="45" spans="5:15" x14ac:dyDescent="0.25">
      <c r="E45">
        <v>7</v>
      </c>
    </row>
    <row r="46" spans="5:15" x14ac:dyDescent="0.25">
      <c r="E46">
        <v>8</v>
      </c>
    </row>
    <row r="47" spans="5:15" x14ac:dyDescent="0.25">
      <c r="E47">
        <v>9</v>
      </c>
    </row>
    <row r="48" spans="5:15" x14ac:dyDescent="0.25">
      <c r="E48">
        <v>10</v>
      </c>
    </row>
    <row r="50" spans="6:15" x14ac:dyDescent="0.25">
      <c r="F50">
        <f>F39/180</f>
        <v>0.25000000000714551</v>
      </c>
      <c r="G50">
        <f t="shared" ref="G50:O50" si="26">G39/180</f>
        <v>0.1475836176546515</v>
      </c>
      <c r="H50">
        <f t="shared" si="26"/>
        <v>0.10241638235249401</v>
      </c>
      <c r="I50">
        <f t="shared" si="26"/>
        <v>7.7979130379598124E-2</v>
      </c>
      <c r="J50">
        <f t="shared" si="26"/>
        <v>6.2832958190797081E-2</v>
      </c>
      <c r="K50">
        <f t="shared" si="26"/>
        <v>5.2568456712755937E-2</v>
      </c>
      <c r="L50">
        <f t="shared" si="26"/>
        <v>4.5167235302157514E-2</v>
      </c>
      <c r="M50">
        <f t="shared" si="26"/>
        <v>3.9583424161696919E-2</v>
      </c>
      <c r="N50">
        <f t="shared" si="26"/>
        <v>3.5223287478284029E-2</v>
      </c>
      <c r="O50">
        <f t="shared" si="26"/>
        <v>3.1725517431460355E-2</v>
      </c>
    </row>
    <row r="52" spans="6:15" x14ac:dyDescent="0.25">
      <c r="F52">
        <f>ATAN($E39/F$37)</f>
        <v>0.78539816339744828</v>
      </c>
      <c r="G52">
        <f t="shared" ref="G52:O52" si="27">ATAN($E39/G$37)</f>
        <v>0.46364760900080609</v>
      </c>
      <c r="H52">
        <f t="shared" si="27"/>
        <v>0.32175055439664219</v>
      </c>
      <c r="I52">
        <f t="shared" si="27"/>
        <v>0.24497866312686414</v>
      </c>
      <c r="J52">
        <f t="shared" si="27"/>
        <v>0.19739555984988078</v>
      </c>
      <c r="K52">
        <f t="shared" si="27"/>
        <v>0.16514867741462683</v>
      </c>
      <c r="L52">
        <f t="shared" si="27"/>
        <v>0.14189705460416391</v>
      </c>
      <c r="M52">
        <f t="shared" si="27"/>
        <v>0.12435499454676144</v>
      </c>
      <c r="N52">
        <f t="shared" si="27"/>
        <v>0.11065722117389563</v>
      </c>
      <c r="O52">
        <f t="shared" si="27"/>
        <v>9.9668652491162038E-2</v>
      </c>
    </row>
    <row r="53" spans="6:15" x14ac:dyDescent="0.25">
      <c r="F53">
        <f>ATAN($E40/F$37)</f>
        <v>1.1071487177940904</v>
      </c>
      <c r="G53">
        <f t="shared" ref="G53:O53" si="28">ATAN($E40/G$37)</f>
        <v>0.78539816339744828</v>
      </c>
      <c r="H53">
        <f t="shared" si="28"/>
        <v>0.5880026035475675</v>
      </c>
      <c r="I53">
        <f t="shared" si="28"/>
        <v>0.46364760900080609</v>
      </c>
      <c r="J53">
        <f t="shared" si="28"/>
        <v>0.3805063771123649</v>
      </c>
      <c r="K53">
        <f t="shared" si="28"/>
        <v>0.32175055439664219</v>
      </c>
      <c r="L53">
        <f t="shared" si="28"/>
        <v>0.27829965900511133</v>
      </c>
      <c r="M53">
        <f t="shared" si="28"/>
        <v>0.24497866312686414</v>
      </c>
      <c r="N53">
        <f t="shared" si="28"/>
        <v>0.21866894587394195</v>
      </c>
      <c r="O53">
        <f t="shared" si="28"/>
        <v>0.19739555984988078</v>
      </c>
    </row>
    <row r="55" spans="6:15" x14ac:dyDescent="0.25">
      <c r="F55">
        <f>F53-F52</f>
        <v>0.32175055439664213</v>
      </c>
      <c r="G55">
        <f t="shared" ref="G55:O55" si="29">G53-G52</f>
        <v>0.32175055439664219</v>
      </c>
      <c r="H55">
        <f t="shared" si="29"/>
        <v>0.26625204915092532</v>
      </c>
      <c r="I55">
        <f t="shared" si="29"/>
        <v>0.21866894587394195</v>
      </c>
      <c r="J55">
        <f t="shared" si="29"/>
        <v>0.18311081726248413</v>
      </c>
      <c r="K55">
        <f t="shared" si="29"/>
        <v>0.15660187698201536</v>
      </c>
      <c r="L55">
        <f t="shared" si="29"/>
        <v>0.13640260440094742</v>
      </c>
      <c r="M55">
        <f t="shared" si="29"/>
        <v>0.12062366858010271</v>
      </c>
      <c r="N55">
        <f t="shared" si="29"/>
        <v>0.10801172470004632</v>
      </c>
      <c r="O55">
        <f t="shared" si="29"/>
        <v>9.7726907358718737E-2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Правильная окружность</vt:lpstr>
      <vt:lpstr>Расчет скоростей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Obsidian</dc:creator>
  <cp:lastModifiedBy>Obsidian</cp:lastModifiedBy>
  <dcterms:created xsi:type="dcterms:W3CDTF">2018-07-06T20:36:48Z</dcterms:created>
  <dcterms:modified xsi:type="dcterms:W3CDTF">2018-07-25T10:28:25Z</dcterms:modified>
</cp:coreProperties>
</file>